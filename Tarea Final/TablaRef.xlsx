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uanp_cuevas_uc_cl/Documents/2025-2/EYP2605/Tarea Final/"/>
    </mc:Choice>
  </mc:AlternateContent>
  <xr:revisionPtr revIDLastSave="215" documentId="11_AD4D2F04E46CFB4ACB3E20CCD594D28C693EDF1B" xr6:coauthVersionLast="47" xr6:coauthVersionMax="47" xr10:uidLastSave="{7EB48196-CBD2-4321-B3DC-3FCBCED94822}"/>
  <bookViews>
    <workbookView xWindow="-108" yWindow="-108" windowWidth="23256" windowHeight="12456" activeTab="3" xr2:uid="{00000000-000D-0000-FFFF-FFFF00000000}"/>
  </bookViews>
  <sheets>
    <sheet name="Hoja1" sheetId="2" r:id="rId1"/>
    <sheet name="Hoja2" sheetId="1" r:id="rId2"/>
    <sheet name="Hoja3" sheetId="3" r:id="rId3"/>
    <sheet name="Hoj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G8" i="5"/>
  <c r="E9" i="5"/>
  <c r="E10" i="5"/>
  <c r="E8" i="5"/>
  <c r="E5" i="5"/>
  <c r="E6" i="5"/>
  <c r="E4" i="5"/>
  <c r="O11" i="3"/>
  <c r="O10" i="3"/>
  <c r="O9" i="3"/>
  <c r="O8" i="3"/>
  <c r="N32" i="3"/>
  <c r="O17" i="3"/>
  <c r="N8" i="3"/>
  <c r="N6" i="3"/>
  <c r="P41" i="3"/>
  <c r="O41" i="3"/>
  <c r="N41" i="3"/>
  <c r="O40" i="3"/>
  <c r="N40" i="3"/>
  <c r="P40" i="3" s="1"/>
  <c r="O39" i="3"/>
  <c r="N39" i="3"/>
  <c r="P39" i="3" s="1"/>
  <c r="N37" i="3"/>
  <c r="O34" i="3"/>
  <c r="N34" i="3"/>
  <c r="P34" i="3" s="1"/>
  <c r="O33" i="3"/>
  <c r="N33" i="3"/>
  <c r="P33" i="3" s="1"/>
  <c r="O32" i="3"/>
  <c r="P32" i="3"/>
  <c r="N30" i="3"/>
  <c r="N26" i="3"/>
  <c r="O26" i="3" s="1"/>
  <c r="N25" i="3"/>
  <c r="O25" i="3" s="1"/>
  <c r="O24" i="3"/>
  <c r="N24" i="3"/>
  <c r="N22" i="3"/>
  <c r="O19" i="3"/>
  <c r="P19" i="3" s="1"/>
  <c r="N19" i="3"/>
  <c r="O18" i="3"/>
  <c r="P18" i="3" s="1"/>
  <c r="N18" i="3"/>
  <c r="P17" i="3"/>
  <c r="N17" i="3"/>
  <c r="N15" i="3"/>
  <c r="N11" i="3"/>
  <c r="N10" i="3"/>
  <c r="N9" i="3"/>
  <c r="I3" i="3"/>
  <c r="H3" i="3"/>
  <c r="G3" i="3"/>
  <c r="F3" i="3"/>
  <c r="E3" i="3"/>
  <c r="I3" i="1"/>
  <c r="G3" i="1"/>
  <c r="H3" i="1"/>
  <c r="F3" i="1"/>
  <c r="E3" i="1"/>
  <c r="C4" i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3" i="3"/>
  <c r="C5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4" i="3"/>
  <c r="G100" i="1"/>
  <c r="G112" i="1"/>
  <c r="G4" i="1"/>
  <c r="G5" i="1"/>
  <c r="G6" i="1"/>
  <c r="G7" i="1"/>
  <c r="G8" i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G17" i="1"/>
  <c r="G18" i="1"/>
  <c r="G19" i="1"/>
  <c r="G20" i="1"/>
  <c r="G21" i="1"/>
  <c r="G22" i="1"/>
  <c r="G23" i="1"/>
  <c r="G24" i="1"/>
  <c r="I24" i="1" s="1"/>
  <c r="G25" i="1"/>
  <c r="I25" i="1" s="1"/>
  <c r="G26" i="1"/>
  <c r="I26" i="1" s="1"/>
  <c r="G27" i="1"/>
  <c r="I27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G53" i="1"/>
  <c r="G54" i="1"/>
  <c r="G55" i="1"/>
  <c r="G56" i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G65" i="1"/>
  <c r="G66" i="1"/>
  <c r="G67" i="1"/>
  <c r="G68" i="1"/>
  <c r="G69" i="1"/>
  <c r="G70" i="1"/>
  <c r="G71" i="1"/>
  <c r="G72" i="1"/>
  <c r="I72" i="1" s="1"/>
  <c r="G73" i="1"/>
  <c r="I73" i="1" s="1"/>
  <c r="G74" i="1"/>
  <c r="I74" i="1" s="1"/>
  <c r="G75" i="1"/>
  <c r="I75" i="1" s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1" i="1"/>
  <c r="G102" i="1"/>
  <c r="G103" i="1"/>
  <c r="G104" i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I37" i="1"/>
  <c r="I38" i="1"/>
  <c r="I39" i="1"/>
  <c r="I85" i="1"/>
  <c r="I86" i="1"/>
  <c r="I87" i="1"/>
  <c r="I4" i="1"/>
  <c r="I5" i="1"/>
  <c r="I6" i="1"/>
  <c r="I7" i="1"/>
  <c r="I8" i="1"/>
  <c r="I16" i="1"/>
  <c r="I17" i="1"/>
  <c r="I18" i="1"/>
  <c r="I19" i="1"/>
  <c r="I20" i="1"/>
  <c r="I21" i="1"/>
  <c r="I22" i="1"/>
  <c r="I23" i="1"/>
  <c r="I28" i="1"/>
  <c r="I29" i="1"/>
  <c r="I30" i="1"/>
  <c r="I31" i="1"/>
  <c r="I32" i="1"/>
  <c r="I33" i="1"/>
  <c r="I34" i="1"/>
  <c r="I35" i="1"/>
  <c r="I36" i="1"/>
  <c r="I40" i="1"/>
  <c r="I41" i="1"/>
  <c r="I52" i="1"/>
  <c r="I53" i="1"/>
  <c r="I54" i="1"/>
  <c r="I55" i="1"/>
  <c r="I56" i="1"/>
  <c r="I64" i="1"/>
  <c r="I65" i="1"/>
  <c r="I66" i="1"/>
  <c r="I67" i="1"/>
  <c r="I68" i="1"/>
  <c r="I69" i="1"/>
  <c r="I70" i="1"/>
  <c r="I71" i="1"/>
  <c r="I76" i="1"/>
  <c r="I77" i="1"/>
  <c r="I78" i="1"/>
  <c r="I79" i="1"/>
  <c r="I80" i="1"/>
  <c r="I81" i="1"/>
  <c r="I82" i="1"/>
  <c r="I83" i="1"/>
  <c r="I84" i="1"/>
  <c r="I88" i="1"/>
  <c r="I89" i="1"/>
  <c r="I100" i="1"/>
  <c r="I101" i="1"/>
  <c r="I102" i="1"/>
  <c r="I103" i="1"/>
  <c r="I104" i="1"/>
  <c r="I112" i="1"/>
  <c r="I11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3" i="1"/>
  <c r="C5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3" i="1"/>
</calcChain>
</file>

<file path=xl/sharedStrings.xml><?xml version="1.0" encoding="utf-8"?>
<sst xmlns="http://schemas.openxmlformats.org/spreadsheetml/2006/main" count="60" uniqueCount="38">
  <si>
    <t>Edad</t>
  </si>
  <si>
    <t>qx</t>
  </si>
  <si>
    <t>Ivalidez 2014 - Masc</t>
  </si>
  <si>
    <t>lx</t>
  </si>
  <si>
    <t>dx</t>
  </si>
  <si>
    <t>v^x</t>
  </si>
  <si>
    <t>Dx</t>
  </si>
  <si>
    <t>Nx</t>
  </si>
  <si>
    <t>Sx</t>
  </si>
  <si>
    <t>Cx</t>
  </si>
  <si>
    <t>Mx</t>
  </si>
  <si>
    <t>Rx</t>
  </si>
  <si>
    <t>interés</t>
  </si>
  <si>
    <t>lx+1</t>
  </si>
  <si>
    <t>px</t>
  </si>
  <si>
    <t>Tx</t>
  </si>
  <si>
    <t>Lx</t>
  </si>
  <si>
    <t>ex</t>
  </si>
  <si>
    <t>Tabla de mortalidad</t>
  </si>
  <si>
    <t>Tabla de valores de conmutación</t>
  </si>
  <si>
    <t>a) Seguro Dotal Puro (70 años)</t>
  </si>
  <si>
    <t>i=</t>
  </si>
  <si>
    <t>D(x+n) / D(x)</t>
  </si>
  <si>
    <t>D(x)</t>
  </si>
  <si>
    <t>Ex:n</t>
  </si>
  <si>
    <t>b) Renta incierta vitalicia pago vencido</t>
  </si>
  <si>
    <t xml:space="preserve">N(x+1) / D(x) </t>
  </si>
  <si>
    <t>N(x+1)</t>
  </si>
  <si>
    <t>ax</t>
  </si>
  <si>
    <t>c) Renta incierta vitalicia diferida con pago anticipado (x+n=75)</t>
  </si>
  <si>
    <t>N(x+n) /D(x)</t>
  </si>
  <si>
    <t>äx:n</t>
  </si>
  <si>
    <t>d) Renta incierta temporal con pago vencido (80 años)</t>
  </si>
  <si>
    <t>(N(x+1)-N(x+n+1))/D(x)</t>
  </si>
  <si>
    <t>N(x)</t>
  </si>
  <si>
    <t>e) Renta incierta temporal diferida (70 años y m=10)</t>
  </si>
  <si>
    <t>N(x+m)-N(x+m+n))/D(x)</t>
  </si>
  <si>
    <t>m|äx:n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</si>
</sst>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00000"/>
    <numFmt numFmtId="165" formatCode="#,##0_ ;[Red]\-#,##0\ "/>
    <numFmt numFmtId="166" formatCode="_ * #,##0.00_ ;_ * \-#,##0.00_ ;_ * &quot;-&quot;?_ ;_ @_ 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43" fontId="0" fillId="0" borderId="0" xfId="0" applyNumberFormat="1"/>
    <xf numFmtId="2" fontId="2" fillId="0" borderId="0" xfId="0" applyNumberFormat="1" applyFon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FF37-A980-42C5-9D53-EB8B2B38E544}">
  <dimension ref="A1:B112"/>
  <sheetViews>
    <sheetView workbookViewId="0">
      <selection activeCell="E20" sqref="E2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1.0804289999999999E-2</v>
      </c>
    </row>
    <row r="3" spans="1:2" x14ac:dyDescent="0.3">
      <c r="A3">
        <v>1</v>
      </c>
      <c r="B3">
        <v>4.4019899999999997E-3</v>
      </c>
    </row>
    <row r="4" spans="1:2" x14ac:dyDescent="0.3">
      <c r="A4">
        <v>2</v>
      </c>
      <c r="B4">
        <v>4.5476700000000002E-3</v>
      </c>
    </row>
    <row r="5" spans="1:2" x14ac:dyDescent="0.3">
      <c r="A5">
        <v>3</v>
      </c>
      <c r="B5">
        <v>4.7105899999999997E-3</v>
      </c>
    </row>
    <row r="6" spans="1:2" x14ac:dyDescent="0.3">
      <c r="A6">
        <v>4</v>
      </c>
      <c r="B6">
        <v>4.8416199999999996E-3</v>
      </c>
    </row>
    <row r="7" spans="1:2" x14ac:dyDescent="0.3">
      <c r="A7">
        <v>5</v>
      </c>
      <c r="B7">
        <v>5.0476499999999999E-3</v>
      </c>
    </row>
    <row r="8" spans="1:2" x14ac:dyDescent="0.3">
      <c r="A8">
        <v>6</v>
      </c>
      <c r="B8">
        <v>5.2420699999999997E-3</v>
      </c>
    </row>
    <row r="9" spans="1:2" x14ac:dyDescent="0.3">
      <c r="A9">
        <v>7</v>
      </c>
      <c r="B9">
        <v>5.4383599999999997E-3</v>
      </c>
    </row>
    <row r="10" spans="1:2" x14ac:dyDescent="0.3">
      <c r="A10">
        <v>8</v>
      </c>
      <c r="B10">
        <v>5.6328200000000002E-3</v>
      </c>
    </row>
    <row r="11" spans="1:2" x14ac:dyDescent="0.3">
      <c r="A11">
        <v>9</v>
      </c>
      <c r="B11">
        <v>5.8262000000000001E-3</v>
      </c>
    </row>
    <row r="12" spans="1:2" x14ac:dyDescent="0.3">
      <c r="A12">
        <v>10</v>
      </c>
      <c r="B12">
        <v>6.1302700000000002E-3</v>
      </c>
    </row>
    <row r="13" spans="1:2" x14ac:dyDescent="0.3">
      <c r="A13">
        <v>11</v>
      </c>
      <c r="B13">
        <v>6.3458400000000002E-3</v>
      </c>
    </row>
    <row r="14" spans="1:2" x14ac:dyDescent="0.3">
      <c r="A14">
        <v>12</v>
      </c>
      <c r="B14">
        <v>6.5873299999999997E-3</v>
      </c>
    </row>
    <row r="15" spans="1:2" x14ac:dyDescent="0.3">
      <c r="A15">
        <v>13</v>
      </c>
      <c r="B15">
        <v>6.86127E-3</v>
      </c>
    </row>
    <row r="16" spans="1:2" x14ac:dyDescent="0.3">
      <c r="A16">
        <v>14</v>
      </c>
      <c r="B16">
        <v>7.15908E-3</v>
      </c>
    </row>
    <row r="17" spans="1:2" x14ac:dyDescent="0.3">
      <c r="A17">
        <v>15</v>
      </c>
      <c r="B17">
        <v>8.1262699999999997E-3</v>
      </c>
    </row>
    <row r="18" spans="1:2" x14ac:dyDescent="0.3">
      <c r="A18">
        <v>16</v>
      </c>
      <c r="B18">
        <v>8.4570800000000005E-3</v>
      </c>
    </row>
    <row r="19" spans="1:2" x14ac:dyDescent="0.3">
      <c r="A19">
        <v>17</v>
      </c>
      <c r="B19">
        <v>8.7819700000000001E-3</v>
      </c>
    </row>
    <row r="20" spans="1:2" x14ac:dyDescent="0.3">
      <c r="A20">
        <v>18</v>
      </c>
      <c r="B20">
        <v>9.0945999999999996E-3</v>
      </c>
    </row>
    <row r="21" spans="1:2" x14ac:dyDescent="0.3">
      <c r="A21">
        <v>19</v>
      </c>
      <c r="B21">
        <v>9.3962200000000003E-3</v>
      </c>
    </row>
    <row r="22" spans="1:2" x14ac:dyDescent="0.3">
      <c r="A22">
        <v>20</v>
      </c>
      <c r="B22">
        <v>9.5463600000000003E-3</v>
      </c>
    </row>
    <row r="23" spans="1:2" x14ac:dyDescent="0.3">
      <c r="A23">
        <v>21</v>
      </c>
      <c r="B23">
        <v>9.8431400000000002E-3</v>
      </c>
    </row>
    <row r="24" spans="1:2" x14ac:dyDescent="0.3">
      <c r="A24">
        <v>22</v>
      </c>
      <c r="B24">
        <v>1.01216E-2</v>
      </c>
    </row>
    <row r="25" spans="1:2" x14ac:dyDescent="0.3">
      <c r="A25">
        <v>23</v>
      </c>
      <c r="B25">
        <v>1.0376410000000001E-2</v>
      </c>
    </row>
    <row r="26" spans="1:2" x14ac:dyDescent="0.3">
      <c r="A26">
        <v>24</v>
      </c>
      <c r="B26">
        <v>1.0613859999999999E-2</v>
      </c>
    </row>
    <row r="27" spans="1:2" x14ac:dyDescent="0.3">
      <c r="A27">
        <v>25</v>
      </c>
      <c r="B27">
        <v>1.0717610000000001E-2</v>
      </c>
    </row>
    <row r="28" spans="1:2" x14ac:dyDescent="0.3">
      <c r="A28">
        <v>26</v>
      </c>
      <c r="B28">
        <v>1.094971E-2</v>
      </c>
    </row>
    <row r="29" spans="1:2" x14ac:dyDescent="0.3">
      <c r="A29">
        <v>27</v>
      </c>
      <c r="B29">
        <v>1.118516E-2</v>
      </c>
    </row>
    <row r="30" spans="1:2" x14ac:dyDescent="0.3">
      <c r="A30">
        <v>28</v>
      </c>
      <c r="B30">
        <v>1.1427730000000001E-2</v>
      </c>
    </row>
    <row r="31" spans="1:2" x14ac:dyDescent="0.3">
      <c r="A31">
        <v>29</v>
      </c>
      <c r="B31">
        <v>1.1677150000000001E-2</v>
      </c>
    </row>
    <row r="32" spans="1:2" x14ac:dyDescent="0.3">
      <c r="A32">
        <v>30</v>
      </c>
      <c r="B32">
        <v>1.1830780000000001E-2</v>
      </c>
    </row>
    <row r="33" spans="1:2" x14ac:dyDescent="0.3">
      <c r="A33">
        <v>31</v>
      </c>
      <c r="B33">
        <v>1.217004E-2</v>
      </c>
    </row>
    <row r="34" spans="1:2" x14ac:dyDescent="0.3">
      <c r="A34">
        <v>32</v>
      </c>
      <c r="B34">
        <v>1.2424050000000001E-2</v>
      </c>
    </row>
    <row r="35" spans="1:2" x14ac:dyDescent="0.3">
      <c r="A35">
        <v>33</v>
      </c>
      <c r="B35">
        <v>1.2606030000000001E-2</v>
      </c>
    </row>
    <row r="36" spans="1:2" x14ac:dyDescent="0.3">
      <c r="A36">
        <v>34</v>
      </c>
      <c r="B36">
        <v>1.274172E-2</v>
      </c>
    </row>
    <row r="37" spans="1:2" x14ac:dyDescent="0.3">
      <c r="A37">
        <v>35</v>
      </c>
      <c r="B37">
        <v>1.28699E-2</v>
      </c>
    </row>
    <row r="38" spans="1:2" x14ac:dyDescent="0.3">
      <c r="A38">
        <v>36</v>
      </c>
      <c r="B38">
        <v>1.313684E-2</v>
      </c>
    </row>
    <row r="39" spans="1:2" x14ac:dyDescent="0.3">
      <c r="A39">
        <v>37</v>
      </c>
      <c r="B39">
        <v>1.348688E-2</v>
      </c>
    </row>
    <row r="40" spans="1:2" x14ac:dyDescent="0.3">
      <c r="A40">
        <v>38</v>
      </c>
      <c r="B40">
        <v>1.3928340000000001E-2</v>
      </c>
    </row>
    <row r="41" spans="1:2" x14ac:dyDescent="0.3">
      <c r="A41">
        <v>39</v>
      </c>
      <c r="B41">
        <v>1.4463439999999999E-2</v>
      </c>
    </row>
    <row r="42" spans="1:2" x14ac:dyDescent="0.3">
      <c r="A42">
        <v>40</v>
      </c>
      <c r="B42">
        <v>1.491453E-2</v>
      </c>
    </row>
    <row r="43" spans="1:2" x14ac:dyDescent="0.3">
      <c r="A43">
        <v>41</v>
      </c>
      <c r="B43">
        <v>1.5609639999999999E-2</v>
      </c>
    </row>
    <row r="44" spans="1:2" x14ac:dyDescent="0.3">
      <c r="A44">
        <v>42</v>
      </c>
      <c r="B44">
        <v>1.6371489999999999E-2</v>
      </c>
    </row>
    <row r="45" spans="1:2" x14ac:dyDescent="0.3">
      <c r="A45">
        <v>43</v>
      </c>
      <c r="B45">
        <v>1.7189329999999999E-2</v>
      </c>
    </row>
    <row r="46" spans="1:2" x14ac:dyDescent="0.3">
      <c r="A46">
        <v>44</v>
      </c>
      <c r="B46">
        <v>1.8055120000000001E-2</v>
      </c>
    </row>
    <row r="47" spans="1:2" x14ac:dyDescent="0.3">
      <c r="A47">
        <v>45</v>
      </c>
      <c r="B47">
        <v>1.8839829999999998E-2</v>
      </c>
    </row>
    <row r="48" spans="1:2" x14ac:dyDescent="0.3">
      <c r="A48">
        <v>46</v>
      </c>
      <c r="B48">
        <v>1.978603E-2</v>
      </c>
    </row>
    <row r="49" spans="1:2" x14ac:dyDescent="0.3">
      <c r="A49">
        <v>47</v>
      </c>
      <c r="B49">
        <v>2.077704E-2</v>
      </c>
    </row>
    <row r="50" spans="1:2" x14ac:dyDescent="0.3">
      <c r="A50">
        <v>48</v>
      </c>
      <c r="B50">
        <v>2.1816269999999999E-2</v>
      </c>
    </row>
    <row r="51" spans="1:2" x14ac:dyDescent="0.3">
      <c r="A51">
        <v>49</v>
      </c>
      <c r="B51">
        <v>2.2906070000000001E-2</v>
      </c>
    </row>
    <row r="52" spans="1:2" x14ac:dyDescent="0.3">
      <c r="A52">
        <v>50</v>
      </c>
      <c r="B52">
        <v>2.4193550000000001E-2</v>
      </c>
    </row>
    <row r="53" spans="1:2" x14ac:dyDescent="0.3">
      <c r="A53">
        <v>51</v>
      </c>
      <c r="B53">
        <v>2.5377819999999999E-2</v>
      </c>
    </row>
    <row r="54" spans="1:2" x14ac:dyDescent="0.3">
      <c r="A54">
        <v>52</v>
      </c>
      <c r="B54">
        <v>2.6583610000000001E-2</v>
      </c>
    </row>
    <row r="55" spans="1:2" x14ac:dyDescent="0.3">
      <c r="A55">
        <v>53</v>
      </c>
      <c r="B55">
        <v>2.778798E-2</v>
      </c>
    </row>
    <row r="56" spans="1:2" x14ac:dyDescent="0.3">
      <c r="A56">
        <v>54</v>
      </c>
      <c r="B56">
        <v>2.8966459999999999E-2</v>
      </c>
    </row>
    <row r="57" spans="1:2" x14ac:dyDescent="0.3">
      <c r="A57">
        <v>55</v>
      </c>
      <c r="B57">
        <v>3.0234069999999998E-2</v>
      </c>
    </row>
    <row r="58" spans="1:2" x14ac:dyDescent="0.3">
      <c r="A58">
        <v>56</v>
      </c>
      <c r="B58">
        <v>3.1306720000000003E-2</v>
      </c>
    </row>
    <row r="59" spans="1:2" x14ac:dyDescent="0.3">
      <c r="A59">
        <v>57</v>
      </c>
      <c r="B59">
        <v>3.2308429999999999E-2</v>
      </c>
    </row>
    <row r="60" spans="1:2" x14ac:dyDescent="0.3">
      <c r="A60">
        <v>58</v>
      </c>
      <c r="B60">
        <v>3.3238999999999998E-2</v>
      </c>
    </row>
    <row r="61" spans="1:2" x14ac:dyDescent="0.3">
      <c r="A61">
        <v>59</v>
      </c>
      <c r="B61">
        <v>3.4104160000000001E-2</v>
      </c>
    </row>
    <row r="62" spans="1:2" x14ac:dyDescent="0.3">
      <c r="A62">
        <v>60</v>
      </c>
      <c r="B62">
        <v>3.5682190000000003E-2</v>
      </c>
    </row>
    <row r="63" spans="1:2" x14ac:dyDescent="0.3">
      <c r="A63">
        <v>61</v>
      </c>
      <c r="B63">
        <v>3.6466220000000001E-2</v>
      </c>
    </row>
    <row r="64" spans="1:2" x14ac:dyDescent="0.3">
      <c r="A64">
        <v>62</v>
      </c>
      <c r="B64">
        <v>3.7221379999999998E-2</v>
      </c>
    </row>
    <row r="65" spans="1:2" x14ac:dyDescent="0.3">
      <c r="A65">
        <v>63</v>
      </c>
      <c r="B65">
        <v>3.7963110000000001E-2</v>
      </c>
    </row>
    <row r="66" spans="1:2" x14ac:dyDescent="0.3">
      <c r="A66">
        <v>64</v>
      </c>
      <c r="B66">
        <v>3.870763E-2</v>
      </c>
    </row>
    <row r="67" spans="1:2" x14ac:dyDescent="0.3">
      <c r="A67">
        <v>65</v>
      </c>
      <c r="B67">
        <v>4.0074930000000002E-2</v>
      </c>
    </row>
    <row r="68" spans="1:2" x14ac:dyDescent="0.3">
      <c r="A68">
        <v>66</v>
      </c>
      <c r="B68">
        <v>4.0896399999999999E-2</v>
      </c>
    </row>
    <row r="69" spans="1:2" x14ac:dyDescent="0.3">
      <c r="A69">
        <v>67</v>
      </c>
      <c r="B69">
        <v>4.1788829999999999E-2</v>
      </c>
    </row>
    <row r="70" spans="1:2" x14ac:dyDescent="0.3">
      <c r="A70">
        <v>68</v>
      </c>
      <c r="B70">
        <v>4.2783370000000001E-2</v>
      </c>
    </row>
    <row r="71" spans="1:2" x14ac:dyDescent="0.3">
      <c r="A71">
        <v>69</v>
      </c>
      <c r="B71">
        <v>4.3915679999999999E-2</v>
      </c>
    </row>
    <row r="72" spans="1:2" x14ac:dyDescent="0.3">
      <c r="A72">
        <v>70</v>
      </c>
      <c r="B72">
        <v>4.5299939999999997E-2</v>
      </c>
    </row>
    <row r="73" spans="1:2" x14ac:dyDescent="0.3">
      <c r="A73">
        <v>71</v>
      </c>
      <c r="B73">
        <v>4.6835330000000001E-2</v>
      </c>
    </row>
    <row r="74" spans="1:2" x14ac:dyDescent="0.3">
      <c r="A74">
        <v>72</v>
      </c>
      <c r="B74">
        <v>4.8640910000000002E-2</v>
      </c>
    </row>
    <row r="75" spans="1:2" x14ac:dyDescent="0.3">
      <c r="A75">
        <v>73</v>
      </c>
      <c r="B75">
        <v>5.0765329999999997E-2</v>
      </c>
    </row>
    <row r="76" spans="1:2" x14ac:dyDescent="0.3">
      <c r="A76">
        <v>74</v>
      </c>
      <c r="B76">
        <v>5.3256299999999999E-2</v>
      </c>
    </row>
    <row r="77" spans="1:2" x14ac:dyDescent="0.3">
      <c r="A77">
        <v>75</v>
      </c>
      <c r="B77">
        <v>5.7149190000000002E-2</v>
      </c>
    </row>
    <row r="78" spans="1:2" x14ac:dyDescent="0.3">
      <c r="A78">
        <v>76</v>
      </c>
      <c r="B78">
        <v>6.0557229999999997E-2</v>
      </c>
    </row>
    <row r="79" spans="1:2" x14ac:dyDescent="0.3">
      <c r="A79">
        <v>77</v>
      </c>
      <c r="B79">
        <v>6.4447969999999993E-2</v>
      </c>
    </row>
    <row r="80" spans="1:2" x14ac:dyDescent="0.3">
      <c r="A80">
        <v>78</v>
      </c>
      <c r="B80">
        <v>6.8835709999999994E-2</v>
      </c>
    </row>
    <row r="81" spans="1:2" x14ac:dyDescent="0.3">
      <c r="A81">
        <v>79</v>
      </c>
      <c r="B81">
        <v>7.3719789999999993E-2</v>
      </c>
    </row>
    <row r="82" spans="1:2" x14ac:dyDescent="0.3">
      <c r="A82">
        <v>80</v>
      </c>
      <c r="B82">
        <v>8.0051689999999995E-2</v>
      </c>
    </row>
    <row r="83" spans="1:2" x14ac:dyDescent="0.3">
      <c r="A83">
        <v>81</v>
      </c>
      <c r="B83">
        <v>8.593481E-2</v>
      </c>
    </row>
    <row r="84" spans="1:2" x14ac:dyDescent="0.3">
      <c r="A84">
        <v>82</v>
      </c>
      <c r="B84">
        <v>9.2223979999999997E-2</v>
      </c>
    </row>
    <row r="85" spans="1:2" x14ac:dyDescent="0.3">
      <c r="A85">
        <v>83</v>
      </c>
      <c r="B85">
        <v>9.8858440000000006E-2</v>
      </c>
    </row>
    <row r="86" spans="1:2" x14ac:dyDescent="0.3">
      <c r="A86">
        <v>84</v>
      </c>
      <c r="B86">
        <v>0.10576600999999999</v>
      </c>
    </row>
    <row r="87" spans="1:2" x14ac:dyDescent="0.3">
      <c r="A87">
        <v>85</v>
      </c>
      <c r="B87">
        <v>0.11424258</v>
      </c>
    </row>
    <row r="88" spans="1:2" x14ac:dyDescent="0.3">
      <c r="A88">
        <v>86</v>
      </c>
      <c r="B88">
        <v>0.121534</v>
      </c>
    </row>
    <row r="89" spans="1:2" x14ac:dyDescent="0.3">
      <c r="A89">
        <v>87</v>
      </c>
      <c r="B89">
        <v>0.12964851999999999</v>
      </c>
    </row>
    <row r="90" spans="1:2" x14ac:dyDescent="0.3">
      <c r="A90">
        <v>88</v>
      </c>
      <c r="B90">
        <v>0.13990696</v>
      </c>
    </row>
    <row r="91" spans="1:2" x14ac:dyDescent="0.3">
      <c r="A91">
        <v>89</v>
      </c>
      <c r="B91">
        <v>0.15006501</v>
      </c>
    </row>
    <row r="92" spans="1:2" x14ac:dyDescent="0.3">
      <c r="A92">
        <v>90</v>
      </c>
      <c r="B92">
        <v>0.16293381000000001</v>
      </c>
    </row>
    <row r="93" spans="1:2" x14ac:dyDescent="0.3">
      <c r="A93">
        <v>91</v>
      </c>
      <c r="B93">
        <v>0.17478192000000001</v>
      </c>
    </row>
    <row r="94" spans="1:2" x14ac:dyDescent="0.3">
      <c r="A94">
        <v>92</v>
      </c>
      <c r="B94">
        <v>0.18747762000000001</v>
      </c>
    </row>
    <row r="95" spans="1:2" x14ac:dyDescent="0.3">
      <c r="A95">
        <v>93</v>
      </c>
      <c r="B95">
        <v>0.20106320999999999</v>
      </c>
    </row>
    <row r="96" spans="1:2" x14ac:dyDescent="0.3">
      <c r="A96">
        <v>94</v>
      </c>
      <c r="B96">
        <v>0.21557973999999999</v>
      </c>
    </row>
    <row r="97" spans="1:2" x14ac:dyDescent="0.3">
      <c r="A97">
        <v>95</v>
      </c>
      <c r="B97">
        <v>0.23386841999999999</v>
      </c>
    </row>
    <row r="98" spans="1:2" x14ac:dyDescent="0.3">
      <c r="A98">
        <v>96</v>
      </c>
      <c r="B98">
        <v>0.25056103000000002</v>
      </c>
    </row>
    <row r="99" spans="1:2" x14ac:dyDescent="0.3">
      <c r="A99">
        <v>97</v>
      </c>
      <c r="B99">
        <v>0.26830449000000001</v>
      </c>
    </row>
    <row r="100" spans="1:2" x14ac:dyDescent="0.3">
      <c r="A100">
        <v>98</v>
      </c>
      <c r="B100">
        <v>0.28712620999999999</v>
      </c>
    </row>
    <row r="101" spans="1:2" x14ac:dyDescent="0.3">
      <c r="A101">
        <v>99</v>
      </c>
      <c r="B101">
        <v>0.30704705999999998</v>
      </c>
    </row>
    <row r="102" spans="1:2" x14ac:dyDescent="0.3">
      <c r="A102">
        <v>100</v>
      </c>
      <c r="B102">
        <v>0.33204660000000003</v>
      </c>
    </row>
    <row r="103" spans="1:2" x14ac:dyDescent="0.3">
      <c r="A103">
        <v>101</v>
      </c>
      <c r="B103">
        <v>0.35446258000000003</v>
      </c>
    </row>
    <row r="104" spans="1:2" x14ac:dyDescent="0.3">
      <c r="A104">
        <v>102</v>
      </c>
      <c r="B104">
        <v>0.37799926</v>
      </c>
    </row>
    <row r="105" spans="1:2" x14ac:dyDescent="0.3">
      <c r="A105">
        <v>103</v>
      </c>
      <c r="B105">
        <v>0.40263525</v>
      </c>
    </row>
    <row r="106" spans="1:2" x14ac:dyDescent="0.3">
      <c r="A106">
        <v>104</v>
      </c>
      <c r="B106">
        <v>0.42833401999999998</v>
      </c>
    </row>
    <row r="107" spans="1:2" x14ac:dyDescent="0.3">
      <c r="A107">
        <v>105</v>
      </c>
      <c r="B107">
        <v>0.45504204999999998</v>
      </c>
    </row>
    <row r="108" spans="1:2" x14ac:dyDescent="0.3">
      <c r="A108">
        <v>106</v>
      </c>
      <c r="B108">
        <v>0.48268701000000003</v>
      </c>
    </row>
    <row r="109" spans="1:2" x14ac:dyDescent="0.3">
      <c r="A109">
        <v>107</v>
      </c>
      <c r="B109">
        <v>0.51117625</v>
      </c>
    </row>
    <row r="110" spans="1:2" x14ac:dyDescent="0.3">
      <c r="A110">
        <v>108</v>
      </c>
      <c r="B110">
        <v>0.54039543999999995</v>
      </c>
    </row>
    <row r="111" spans="1:2" x14ac:dyDescent="0.3">
      <c r="A111">
        <v>109</v>
      </c>
      <c r="B111">
        <v>0.57020773000000002</v>
      </c>
    </row>
    <row r="112" spans="1:2" x14ac:dyDescent="0.3">
      <c r="A112">
        <v>110</v>
      </c>
      <c r="B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workbookViewId="0">
      <selection activeCell="I3" sqref="I3"/>
    </sheetView>
  </sheetViews>
  <sheetFormatPr baseColWidth="10" defaultColWidth="8.88671875" defaultRowHeight="14.4" x14ac:dyDescent="0.3"/>
  <cols>
    <col min="2" max="2" width="10.44140625" customWidth="1"/>
    <col min="3" max="3" width="11.33203125" customWidth="1"/>
    <col min="4" max="4" width="9.88671875" bestFit="1" customWidth="1"/>
    <col min="6" max="6" width="8.88671875" customWidth="1"/>
    <col min="7" max="7" width="10.88671875" bestFit="1" customWidth="1"/>
  </cols>
  <sheetData>
    <row r="1" spans="1:9" x14ac:dyDescent="0.3">
      <c r="A1" t="s">
        <v>2</v>
      </c>
      <c r="C1" t="s">
        <v>18</v>
      </c>
    </row>
    <row r="2" spans="1:9" x14ac:dyDescent="0.3">
      <c r="A2" t="s">
        <v>0</v>
      </c>
      <c r="B2" t="s">
        <v>1</v>
      </c>
      <c r="C2" t="s">
        <v>3</v>
      </c>
      <c r="D2" t="s">
        <v>13</v>
      </c>
      <c r="E2" t="s">
        <v>4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s="1">
        <v>0</v>
      </c>
      <c r="B3" s="2">
        <v>1.0804289999999999E-2</v>
      </c>
      <c r="C3" s="3">
        <f>10000000</f>
        <v>10000000</v>
      </c>
      <c r="D3" s="3">
        <f>C4</f>
        <v>9891957.0999999996</v>
      </c>
      <c r="E3" s="3">
        <f>C3-D3</f>
        <v>108042.90000000037</v>
      </c>
      <c r="F3">
        <f>D3/C3</f>
        <v>0.98919570999999995</v>
      </c>
      <c r="G3" s="3">
        <f>SUM(H3:H$112)</f>
        <v>527617447.84223247</v>
      </c>
      <c r="H3" s="3">
        <f>AVERAGE(C3:D3)</f>
        <v>9945978.5500000007</v>
      </c>
      <c r="I3">
        <f>G3/C3</f>
        <v>52.761744784223247</v>
      </c>
    </row>
    <row r="4" spans="1:9" x14ac:dyDescent="0.3">
      <c r="A4" s="1">
        <v>1</v>
      </c>
      <c r="B4" s="2">
        <v>4.4019899999999997E-3</v>
      </c>
      <c r="C4" s="3">
        <f>C3*(1-B3)</f>
        <v>9891957.0999999996</v>
      </c>
      <c r="D4" s="3">
        <f t="shared" ref="D4:D67" si="0">C5</f>
        <v>9848412.8037653714</v>
      </c>
      <c r="E4" s="3">
        <f t="shared" ref="E4:E67" si="1">C4-D4</f>
        <v>43544.296234628186</v>
      </c>
      <c r="F4">
        <f t="shared" ref="F4:F67" si="2">D4/C4</f>
        <v>0.99559801000000003</v>
      </c>
      <c r="G4" s="3">
        <f>SUM(H4:H$112)</f>
        <v>517671469.29223239</v>
      </c>
      <c r="H4" s="3">
        <f t="shared" ref="H4:H67" si="3">AVERAGE(C4:D4)</f>
        <v>9870184.9518826865</v>
      </c>
      <c r="I4">
        <f t="shared" ref="I4:I67" si="4">G4/C4</f>
        <v>52.332563117588975</v>
      </c>
    </row>
    <row r="5" spans="1:9" x14ac:dyDescent="0.3">
      <c r="A5" s="1">
        <v>2</v>
      </c>
      <c r="B5" s="2">
        <v>4.5476700000000002E-3</v>
      </c>
      <c r="C5" s="3">
        <f t="shared" ref="C5:C68" si="5">C4*(1-B4)</f>
        <v>9848412.8037653714</v>
      </c>
      <c r="D5" s="3">
        <f t="shared" si="0"/>
        <v>9803625.4723100718</v>
      </c>
      <c r="E5" s="3">
        <f t="shared" si="1"/>
        <v>44787.331455299631</v>
      </c>
      <c r="F5">
        <f t="shared" si="2"/>
        <v>0.99545233</v>
      </c>
      <c r="G5" s="3">
        <f>SUM(H5:H$112)</f>
        <v>507801284.34034967</v>
      </c>
      <c r="H5" s="3">
        <f t="shared" si="3"/>
        <v>9826019.1380377226</v>
      </c>
      <c r="I5">
        <f t="shared" si="4"/>
        <v>51.561738369273122</v>
      </c>
    </row>
    <row r="6" spans="1:9" x14ac:dyDescent="0.3">
      <c r="A6" s="1">
        <v>3</v>
      </c>
      <c r="B6" s="2">
        <v>4.7105899999999997E-3</v>
      </c>
      <c r="C6" s="3">
        <f t="shared" si="5"/>
        <v>9803625.4723100718</v>
      </c>
      <c r="D6" s="3">
        <f t="shared" si="0"/>
        <v>9757444.6121964622</v>
      </c>
      <c r="E6" s="3">
        <f t="shared" si="1"/>
        <v>46180.860113609582</v>
      </c>
      <c r="F6">
        <f t="shared" si="2"/>
        <v>0.99528940999999993</v>
      </c>
      <c r="G6" s="3">
        <f>SUM(H6:H$112)</f>
        <v>497975265.20231199</v>
      </c>
      <c r="H6" s="3">
        <f t="shared" si="3"/>
        <v>9780535.042253267</v>
      </c>
      <c r="I6">
        <f t="shared" si="4"/>
        <v>50.795011152641663</v>
      </c>
    </row>
    <row r="7" spans="1:9" x14ac:dyDescent="0.3">
      <c r="A7" s="1">
        <v>4</v>
      </c>
      <c r="B7" s="2">
        <v>4.8416199999999996E-3</v>
      </c>
      <c r="C7" s="3">
        <f t="shared" si="5"/>
        <v>9757444.6121964622</v>
      </c>
      <c r="D7" s="3">
        <f t="shared" si="0"/>
        <v>9710202.7732131593</v>
      </c>
      <c r="E7" s="3">
        <f t="shared" si="1"/>
        <v>47241.838983302936</v>
      </c>
      <c r="F7">
        <f t="shared" si="2"/>
        <v>0.99515838000000001</v>
      </c>
      <c r="G7" s="3">
        <f>SUM(H7:H$112)</f>
        <v>488194730.16005874</v>
      </c>
      <c r="H7" s="3">
        <f t="shared" si="3"/>
        <v>9733823.6927048117</v>
      </c>
      <c r="I7">
        <f t="shared" si="4"/>
        <v>50.033051640368271</v>
      </c>
    </row>
    <row r="8" spans="1:9" x14ac:dyDescent="0.3">
      <c r="A8" s="1">
        <v>5</v>
      </c>
      <c r="B8" s="2">
        <v>5.0476499999999999E-3</v>
      </c>
      <c r="C8" s="3">
        <f t="shared" si="5"/>
        <v>9710202.7732131593</v>
      </c>
      <c r="D8" s="3">
        <f t="shared" si="0"/>
        <v>9661189.0681849495</v>
      </c>
      <c r="E8" s="3">
        <f t="shared" si="1"/>
        <v>49013.705028209835</v>
      </c>
      <c r="F8">
        <f t="shared" si="2"/>
        <v>0.99495234999999993</v>
      </c>
      <c r="G8" s="3">
        <f>SUM(H8:H$112)</f>
        <v>478460906.46735394</v>
      </c>
      <c r="H8" s="3">
        <f t="shared" si="3"/>
        <v>9685695.9206990544</v>
      </c>
      <c r="I8">
        <f t="shared" si="4"/>
        <v>49.274038621237629</v>
      </c>
    </row>
    <row r="9" spans="1:9" x14ac:dyDescent="0.3">
      <c r="A9" s="1">
        <v>6</v>
      </c>
      <c r="B9" s="2">
        <v>5.2420699999999997E-3</v>
      </c>
      <c r="C9" s="3">
        <f t="shared" si="5"/>
        <v>9661189.0681849495</v>
      </c>
      <c r="D9" s="3">
        <f t="shared" si="0"/>
        <v>9610544.4388062898</v>
      </c>
      <c r="E9" s="3">
        <f t="shared" si="1"/>
        <v>50644.629378659651</v>
      </c>
      <c r="F9">
        <f t="shared" si="2"/>
        <v>0.99475793000000001</v>
      </c>
      <c r="G9" s="3">
        <f>SUM(H9:H$112)</f>
        <v>468775210.54665482</v>
      </c>
      <c r="H9" s="3">
        <f t="shared" si="3"/>
        <v>9635866.7534956187</v>
      </c>
      <c r="I9">
        <f t="shared" si="4"/>
        <v>48.52148190437223</v>
      </c>
    </row>
    <row r="10" spans="1:9" x14ac:dyDescent="0.3">
      <c r="A10" s="1">
        <v>7</v>
      </c>
      <c r="B10" s="2">
        <v>5.4383599999999997E-3</v>
      </c>
      <c r="C10" s="3">
        <f t="shared" si="5"/>
        <v>9610544.4388062898</v>
      </c>
      <c r="D10" s="3">
        <f t="shared" si="0"/>
        <v>9558278.8383520637</v>
      </c>
      <c r="E10" s="3">
        <f t="shared" si="1"/>
        <v>52265.600454226136</v>
      </c>
      <c r="F10">
        <f t="shared" si="2"/>
        <v>0.99456164000000002</v>
      </c>
      <c r="G10" s="3">
        <f>SUM(H10:H$112)</f>
        <v>459139343.79315925</v>
      </c>
      <c r="H10" s="3">
        <f t="shared" si="3"/>
        <v>9584411.6385791767</v>
      </c>
      <c r="I10">
        <f t="shared" si="4"/>
        <v>47.774540424495264</v>
      </c>
    </row>
    <row r="11" spans="1:9" x14ac:dyDescent="0.3">
      <c r="A11" s="1">
        <v>8</v>
      </c>
      <c r="B11" s="2">
        <v>5.6328200000000002E-3</v>
      </c>
      <c r="C11" s="3">
        <f t="shared" si="5"/>
        <v>9558278.8383520637</v>
      </c>
      <c r="D11" s="3">
        <f t="shared" si="0"/>
        <v>9504438.7741458174</v>
      </c>
      <c r="E11" s="3">
        <f t="shared" si="1"/>
        <v>53840.064206246287</v>
      </c>
      <c r="F11">
        <f t="shared" si="2"/>
        <v>0.99436718000000002</v>
      </c>
      <c r="G11" s="3">
        <f>SUM(H11:H$112)</f>
        <v>449554932.15458</v>
      </c>
      <c r="H11" s="3">
        <f t="shared" si="3"/>
        <v>9531358.8062489405</v>
      </c>
      <c r="I11">
        <f t="shared" si="4"/>
        <v>47.033042219982718</v>
      </c>
    </row>
    <row r="12" spans="1:9" x14ac:dyDescent="0.3">
      <c r="A12" s="1">
        <v>9</v>
      </c>
      <c r="B12" s="2">
        <v>5.8262000000000001E-3</v>
      </c>
      <c r="C12" s="3">
        <f t="shared" si="5"/>
        <v>9504438.7741458174</v>
      </c>
      <c r="D12" s="3">
        <f t="shared" si="0"/>
        <v>9449064.0129598882</v>
      </c>
      <c r="E12" s="3">
        <f t="shared" si="1"/>
        <v>55374.761185929179</v>
      </c>
      <c r="F12">
        <f t="shared" si="2"/>
        <v>0.99417379999999989</v>
      </c>
      <c r="G12" s="3">
        <f>SUM(H12:H$112)</f>
        <v>440023573.34833109</v>
      </c>
      <c r="H12" s="3">
        <f t="shared" si="3"/>
        <v>9476751.3935528528</v>
      </c>
      <c r="I12">
        <f t="shared" si="4"/>
        <v>46.296639265570619</v>
      </c>
    </row>
    <row r="13" spans="1:9" x14ac:dyDescent="0.3">
      <c r="A13" s="1">
        <v>10</v>
      </c>
      <c r="B13" s="2">
        <v>6.1302700000000002E-3</v>
      </c>
      <c r="C13" s="3">
        <f t="shared" si="5"/>
        <v>9449064.0129598882</v>
      </c>
      <c r="D13" s="3">
        <f t="shared" si="0"/>
        <v>9391138.69931316</v>
      </c>
      <c r="E13" s="3">
        <f t="shared" si="1"/>
        <v>57925.313646728173</v>
      </c>
      <c r="F13">
        <f t="shared" si="2"/>
        <v>0.9938697299999999</v>
      </c>
      <c r="G13" s="3">
        <f>SUM(H13:H$112)</f>
        <v>430546821.95477831</v>
      </c>
      <c r="H13" s="3">
        <f t="shared" si="3"/>
        <v>9420101.3561365232</v>
      </c>
      <c r="I13">
        <f t="shared" si="4"/>
        <v>45.565023304346411</v>
      </c>
    </row>
    <row r="14" spans="1:9" x14ac:dyDescent="0.3">
      <c r="A14" s="1">
        <v>11</v>
      </c>
      <c r="B14" s="2">
        <v>6.3458400000000002E-3</v>
      </c>
      <c r="C14" s="3">
        <f t="shared" si="5"/>
        <v>9391138.69931316</v>
      </c>
      <c r="D14" s="3">
        <f t="shared" si="0"/>
        <v>9331544.0357095096</v>
      </c>
      <c r="E14" s="3">
        <f t="shared" si="1"/>
        <v>59594.663603650406</v>
      </c>
      <c r="F14">
        <f t="shared" si="2"/>
        <v>0.99365415999999984</v>
      </c>
      <c r="G14" s="3">
        <f>SUM(H14:H$112)</f>
        <v>421126720.59864175</v>
      </c>
      <c r="H14" s="3">
        <f t="shared" si="3"/>
        <v>9361341.3675113358</v>
      </c>
      <c r="I14">
        <f t="shared" si="4"/>
        <v>44.842988063784183</v>
      </c>
    </row>
    <row r="15" spans="1:9" x14ac:dyDescent="0.3">
      <c r="A15" s="1">
        <v>12</v>
      </c>
      <c r="B15" s="2">
        <v>6.5873299999999997E-3</v>
      </c>
      <c r="C15" s="3">
        <f t="shared" si="5"/>
        <v>9331544.0357095096</v>
      </c>
      <c r="D15" s="3">
        <f t="shared" si="0"/>
        <v>9270074.0757367592</v>
      </c>
      <c r="E15" s="3">
        <f t="shared" si="1"/>
        <v>61469.959972750396</v>
      </c>
      <c r="F15">
        <f t="shared" si="2"/>
        <v>0.99341267</v>
      </c>
      <c r="G15" s="3">
        <f>SUM(H15:H$112)</f>
        <v>411765379.23113036</v>
      </c>
      <c r="H15" s="3">
        <f t="shared" si="3"/>
        <v>9300809.0557231344</v>
      </c>
      <c r="I15">
        <f t="shared" si="4"/>
        <v>44.126178653329625</v>
      </c>
    </row>
    <row r="16" spans="1:9" x14ac:dyDescent="0.3">
      <c r="A16" s="1">
        <v>13</v>
      </c>
      <c r="B16" s="2">
        <v>6.86127E-3</v>
      </c>
      <c r="C16" s="3">
        <f t="shared" si="5"/>
        <v>9270074.0757367592</v>
      </c>
      <c r="D16" s="3">
        <f t="shared" si="0"/>
        <v>9206469.5945831295</v>
      </c>
      <c r="E16" s="3">
        <f t="shared" si="1"/>
        <v>63604.48115362972</v>
      </c>
      <c r="F16">
        <f t="shared" si="2"/>
        <v>0.99313873000000008</v>
      </c>
      <c r="G16" s="3">
        <f>SUM(H16:H$112)</f>
        <v>402464570.17540729</v>
      </c>
      <c r="H16" s="3">
        <f t="shared" si="3"/>
        <v>9238271.8351599444</v>
      </c>
      <c r="I16">
        <f t="shared" si="4"/>
        <v>43.415464308835155</v>
      </c>
    </row>
    <row r="17" spans="1:9" x14ac:dyDescent="0.3">
      <c r="A17" s="1">
        <v>14</v>
      </c>
      <c r="B17" s="2">
        <v>7.15908E-3</v>
      </c>
      <c r="C17" s="3">
        <f t="shared" si="5"/>
        <v>9206469.5945831295</v>
      </c>
      <c r="D17" s="3">
        <f t="shared" si="0"/>
        <v>9140559.7422379423</v>
      </c>
      <c r="E17" s="3">
        <f t="shared" si="1"/>
        <v>65909.852345187217</v>
      </c>
      <c r="F17">
        <f t="shared" si="2"/>
        <v>0.99284092000000013</v>
      </c>
      <c r="G17" s="3">
        <f>SUM(H17:H$112)</f>
        <v>393226298.34024739</v>
      </c>
      <c r="H17" s="3">
        <f t="shared" si="3"/>
        <v>9173514.6684105359</v>
      </c>
      <c r="I17">
        <f t="shared" si="4"/>
        <v>42.711953186877686</v>
      </c>
    </row>
    <row r="18" spans="1:9" x14ac:dyDescent="0.3">
      <c r="A18" s="1">
        <v>15</v>
      </c>
      <c r="B18" s="2">
        <v>8.1262699999999997E-3</v>
      </c>
      <c r="C18" s="3">
        <f t="shared" si="5"/>
        <v>9140559.7422379423</v>
      </c>
      <c r="D18" s="3">
        <f t="shared" si="0"/>
        <v>9066281.0858213864</v>
      </c>
      <c r="E18" s="3">
        <f t="shared" si="1"/>
        <v>74278.656416555867</v>
      </c>
      <c r="F18">
        <f t="shared" si="2"/>
        <v>0.99187373000000001</v>
      </c>
      <c r="G18" s="3">
        <f>SUM(H18:H$112)</f>
        <v>384052783.67183697</v>
      </c>
      <c r="H18" s="3">
        <f t="shared" si="3"/>
        <v>9103420.4140296653</v>
      </c>
      <c r="I18">
        <f t="shared" si="4"/>
        <v>42.016331001826245</v>
      </c>
    </row>
    <row r="19" spans="1:9" x14ac:dyDescent="0.3">
      <c r="A19" s="1">
        <v>16</v>
      </c>
      <c r="B19" s="2">
        <v>8.4570800000000005E-3</v>
      </c>
      <c r="C19" s="3">
        <f t="shared" si="5"/>
        <v>9066281.0858213864</v>
      </c>
      <c r="D19" s="3">
        <f t="shared" si="0"/>
        <v>8989606.8213761076</v>
      </c>
      <c r="E19" s="3">
        <f t="shared" si="1"/>
        <v>76674.264445278794</v>
      </c>
      <c r="F19">
        <f t="shared" si="2"/>
        <v>0.99154291999999999</v>
      </c>
      <c r="G19" s="3">
        <f>SUM(H19:H$112)</f>
        <v>374949363.25780725</v>
      </c>
      <c r="H19" s="3">
        <f t="shared" si="3"/>
        <v>9027943.953598747</v>
      </c>
      <c r="I19">
        <f t="shared" si="4"/>
        <v>41.356467961729606</v>
      </c>
    </row>
    <row r="20" spans="1:9" x14ac:dyDescent="0.3">
      <c r="A20" s="1">
        <v>17</v>
      </c>
      <c r="B20" s="2">
        <v>8.7819700000000001E-3</v>
      </c>
      <c r="C20" s="3">
        <f t="shared" si="5"/>
        <v>8989606.8213761076</v>
      </c>
      <c r="D20" s="3">
        <f t="shared" si="0"/>
        <v>8910660.3639589865</v>
      </c>
      <c r="E20" s="3">
        <f t="shared" si="1"/>
        <v>78946.457417121157</v>
      </c>
      <c r="F20">
        <f t="shared" si="2"/>
        <v>0.99121802999999986</v>
      </c>
      <c r="G20" s="3">
        <f>SUM(H20:H$112)</f>
        <v>365921419.30420852</v>
      </c>
      <c r="H20" s="3">
        <f t="shared" si="3"/>
        <v>8950133.5926675461</v>
      </c>
      <c r="I20">
        <f t="shared" si="4"/>
        <v>40.70494144795024</v>
      </c>
    </row>
    <row r="21" spans="1:9" x14ac:dyDescent="0.3">
      <c r="A21" s="1">
        <v>18</v>
      </c>
      <c r="B21" s="2">
        <v>9.0945999999999996E-3</v>
      </c>
      <c r="C21" s="3">
        <f t="shared" si="5"/>
        <v>8910660.3639589865</v>
      </c>
      <c r="D21" s="3">
        <f t="shared" si="0"/>
        <v>8829621.4722129256</v>
      </c>
      <c r="E21" s="3">
        <f t="shared" si="1"/>
        <v>81038.891746060923</v>
      </c>
      <c r="F21">
        <f t="shared" si="2"/>
        <v>0.99090540000000005</v>
      </c>
      <c r="G21" s="3">
        <f>SUM(H21:H$112)</f>
        <v>356971285.71154094</v>
      </c>
      <c r="H21" s="3">
        <f t="shared" si="3"/>
        <v>8870140.9180859551</v>
      </c>
      <c r="I21">
        <f t="shared" si="4"/>
        <v>40.06114823491481</v>
      </c>
    </row>
    <row r="22" spans="1:9" x14ac:dyDescent="0.3">
      <c r="A22" s="1">
        <v>19</v>
      </c>
      <c r="B22" s="2">
        <v>9.3962200000000003E-3</v>
      </c>
      <c r="C22" s="3">
        <f t="shared" si="5"/>
        <v>8829621.4722129256</v>
      </c>
      <c r="D22" s="3">
        <f t="shared" si="0"/>
        <v>8746656.4063432887</v>
      </c>
      <c r="E22" s="3">
        <f t="shared" si="1"/>
        <v>82965.065869636834</v>
      </c>
      <c r="F22">
        <f t="shared" si="2"/>
        <v>0.99060377999999993</v>
      </c>
      <c r="G22" s="3">
        <f>SUM(H22:H$112)</f>
        <v>348101144.793455</v>
      </c>
      <c r="H22" s="3">
        <f t="shared" si="3"/>
        <v>8788138.9392781071</v>
      </c>
      <c r="I22">
        <f t="shared" si="4"/>
        <v>39.424243257645799</v>
      </c>
    </row>
    <row r="23" spans="1:9" x14ac:dyDescent="0.3">
      <c r="A23" s="1">
        <v>20</v>
      </c>
      <c r="B23" s="2">
        <v>9.5463600000000003E-3</v>
      </c>
      <c r="C23" s="3">
        <f t="shared" si="5"/>
        <v>8746656.4063432887</v>
      </c>
      <c r="D23" s="3">
        <f t="shared" si="0"/>
        <v>8663157.6754920296</v>
      </c>
      <c r="E23" s="3">
        <f t="shared" si="1"/>
        <v>83498.730851259083</v>
      </c>
      <c r="F23">
        <f t="shared" si="2"/>
        <v>0.99045364000000002</v>
      </c>
      <c r="G23" s="3">
        <f>SUM(H23:H$112)</f>
        <v>339313005.85417688</v>
      </c>
      <c r="H23" s="3">
        <f t="shared" si="3"/>
        <v>8704907.0409176592</v>
      </c>
      <c r="I23">
        <f t="shared" si="4"/>
        <v>38.793453188363365</v>
      </c>
    </row>
    <row r="24" spans="1:9" x14ac:dyDescent="0.3">
      <c r="A24" s="1">
        <v>21</v>
      </c>
      <c r="B24" s="2">
        <v>9.8431400000000002E-3</v>
      </c>
      <c r="C24" s="3">
        <f t="shared" si="5"/>
        <v>8663157.6754920296</v>
      </c>
      <c r="D24" s="3">
        <f t="shared" si="0"/>
        <v>8577885.0016500875</v>
      </c>
      <c r="E24" s="3">
        <f t="shared" si="1"/>
        <v>85272.673841942102</v>
      </c>
      <c r="F24">
        <f t="shared" si="2"/>
        <v>0.99015686000000003</v>
      </c>
      <c r="G24" s="3">
        <f>SUM(H24:H$112)</f>
        <v>330608098.81325912</v>
      </c>
      <c r="H24" s="3">
        <f t="shared" si="3"/>
        <v>8620521.3385710586</v>
      </c>
      <c r="I24">
        <f t="shared" si="4"/>
        <v>38.162539710958455</v>
      </c>
    </row>
    <row r="25" spans="1:9" x14ac:dyDescent="0.3">
      <c r="A25" s="1">
        <v>22</v>
      </c>
      <c r="B25" s="2">
        <v>1.01216E-2</v>
      </c>
      <c r="C25" s="3">
        <f t="shared" si="5"/>
        <v>8577885.0016500875</v>
      </c>
      <c r="D25" s="3">
        <f t="shared" si="0"/>
        <v>8491063.0808173865</v>
      </c>
      <c r="E25" s="3">
        <f t="shared" si="1"/>
        <v>86821.920832701027</v>
      </c>
      <c r="F25">
        <f t="shared" si="2"/>
        <v>0.98987840000000005</v>
      </c>
      <c r="G25" s="3">
        <f>SUM(H25:H$112)</f>
        <v>321987577.47468805</v>
      </c>
      <c r="H25" s="3">
        <f t="shared" si="3"/>
        <v>8534474.041233737</v>
      </c>
      <c r="I25">
        <f t="shared" si="4"/>
        <v>37.536942662759969</v>
      </c>
    </row>
    <row r="26" spans="1:9" x14ac:dyDescent="0.3">
      <c r="A26" s="1">
        <v>23</v>
      </c>
      <c r="B26" s="2">
        <v>1.0376410000000001E-2</v>
      </c>
      <c r="C26" s="3">
        <f t="shared" si="5"/>
        <v>8491063.0808173865</v>
      </c>
      <c r="D26" s="3">
        <f t="shared" si="0"/>
        <v>8402956.328954963</v>
      </c>
      <c r="E26" s="3">
        <f t="shared" si="1"/>
        <v>88106.751862423494</v>
      </c>
      <c r="F26">
        <f t="shared" si="2"/>
        <v>0.98962359000000011</v>
      </c>
      <c r="G26" s="3">
        <f>SUM(H26:H$112)</f>
        <v>313453103.43345439</v>
      </c>
      <c r="H26" s="3">
        <f t="shared" si="3"/>
        <v>8447009.7048861757</v>
      </c>
      <c r="I26">
        <f t="shared" si="4"/>
        <v>36.915648894611678</v>
      </c>
    </row>
    <row r="27" spans="1:9" x14ac:dyDescent="0.3">
      <c r="A27" s="1">
        <v>24</v>
      </c>
      <c r="B27" s="2">
        <v>1.0613859999999999E-2</v>
      </c>
      <c r="C27" s="3">
        <f t="shared" si="5"/>
        <v>8402956.328954963</v>
      </c>
      <c r="D27" s="3">
        <f t="shared" si="0"/>
        <v>8313768.5268933214</v>
      </c>
      <c r="E27" s="3">
        <f t="shared" si="1"/>
        <v>89187.802061641589</v>
      </c>
      <c r="F27">
        <f t="shared" si="2"/>
        <v>0.98938614000000003</v>
      </c>
      <c r="G27" s="3">
        <f>SUM(H27:H$112)</f>
        <v>305006093.7285682</v>
      </c>
      <c r="H27" s="3">
        <f t="shared" si="3"/>
        <v>8358362.4279241422</v>
      </c>
      <c r="I27">
        <f t="shared" si="4"/>
        <v>36.297474577795455</v>
      </c>
    </row>
    <row r="28" spans="1:9" x14ac:dyDescent="0.3">
      <c r="A28" s="1">
        <v>25</v>
      </c>
      <c r="B28" s="2">
        <v>1.0717610000000001E-2</v>
      </c>
      <c r="C28" s="3">
        <f t="shared" si="5"/>
        <v>8313768.5268933214</v>
      </c>
      <c r="D28" s="3">
        <f t="shared" si="0"/>
        <v>8224664.7981918035</v>
      </c>
      <c r="E28" s="3">
        <f t="shared" si="1"/>
        <v>89103.728701517917</v>
      </c>
      <c r="F28">
        <f t="shared" si="2"/>
        <v>0.98928238999999996</v>
      </c>
      <c r="G28" s="3">
        <f>SUM(H28:H$112)</f>
        <v>296647731.30064404</v>
      </c>
      <c r="H28" s="3">
        <f t="shared" si="3"/>
        <v>8269216.6625425629</v>
      </c>
      <c r="I28">
        <f t="shared" si="4"/>
        <v>35.681499952885382</v>
      </c>
    </row>
    <row r="29" spans="1:9" x14ac:dyDescent="0.3">
      <c r="A29" s="1">
        <v>26</v>
      </c>
      <c r="B29" s="2">
        <v>1.094971E-2</v>
      </c>
      <c r="C29" s="3">
        <f t="shared" si="5"/>
        <v>8224664.7981918035</v>
      </c>
      <c r="D29" s="3">
        <f t="shared" si="0"/>
        <v>8134607.1038043946</v>
      </c>
      <c r="E29" s="3">
        <f t="shared" si="1"/>
        <v>90057.694387408905</v>
      </c>
      <c r="F29">
        <f t="shared" si="2"/>
        <v>0.98905029</v>
      </c>
      <c r="G29" s="3">
        <f>SUM(H29:H$112)</f>
        <v>288378514.63810146</v>
      </c>
      <c r="H29" s="3">
        <f t="shared" si="3"/>
        <v>8179635.9509980995</v>
      </c>
      <c r="I29">
        <f t="shared" si="4"/>
        <v>35.06264652895053</v>
      </c>
    </row>
    <row r="30" spans="1:9" x14ac:dyDescent="0.3">
      <c r="A30" s="1">
        <v>27</v>
      </c>
      <c r="B30" s="2">
        <v>1.118516E-2</v>
      </c>
      <c r="C30" s="3">
        <f t="shared" si="5"/>
        <v>8134607.1038043946</v>
      </c>
      <c r="D30" s="3">
        <f t="shared" si="0"/>
        <v>8043620.2218112061</v>
      </c>
      <c r="E30" s="3">
        <f t="shared" si="1"/>
        <v>90986.881993188523</v>
      </c>
      <c r="F30">
        <f t="shared" si="2"/>
        <v>0.98881484000000008</v>
      </c>
      <c r="G30" s="3">
        <f>SUM(H30:H$112)</f>
        <v>280198878.68710351</v>
      </c>
      <c r="H30" s="3">
        <f t="shared" si="3"/>
        <v>8089113.6628077999</v>
      </c>
      <c r="I30">
        <f t="shared" si="4"/>
        <v>34.445287290649851</v>
      </c>
    </row>
    <row r="31" spans="1:9" x14ac:dyDescent="0.3">
      <c r="A31" s="1">
        <v>28</v>
      </c>
      <c r="B31" s="2">
        <v>1.1427730000000001E-2</v>
      </c>
      <c r="C31" s="3">
        <f t="shared" si="5"/>
        <v>8043620.2218112061</v>
      </c>
      <c r="D31" s="3">
        <f t="shared" si="0"/>
        <v>7951699.9016938079</v>
      </c>
      <c r="E31" s="3">
        <f t="shared" si="1"/>
        <v>91920.320117398165</v>
      </c>
      <c r="F31">
        <f t="shared" si="2"/>
        <v>0.98857227000000003</v>
      </c>
      <c r="G31" s="3">
        <f>SUM(H31:H$112)</f>
        <v>272109765.02429569</v>
      </c>
      <c r="H31" s="3">
        <f t="shared" si="3"/>
        <v>7997660.0617525075</v>
      </c>
      <c r="I31">
        <f t="shared" si="4"/>
        <v>33.829265619284037</v>
      </c>
    </row>
    <row r="32" spans="1:9" x14ac:dyDescent="0.3">
      <c r="A32" s="1">
        <v>29</v>
      </c>
      <c r="B32" s="2">
        <v>1.1677150000000001E-2</v>
      </c>
      <c r="C32" s="3">
        <f t="shared" si="5"/>
        <v>7951699.9016938079</v>
      </c>
      <c r="D32" s="3">
        <f t="shared" si="0"/>
        <v>7858846.7091867439</v>
      </c>
      <c r="E32" s="3">
        <f t="shared" si="1"/>
        <v>92853.19250706397</v>
      </c>
      <c r="F32">
        <f t="shared" si="2"/>
        <v>0.98832284999999997</v>
      </c>
      <c r="G32" s="3">
        <f>SUM(H32:H$112)</f>
        <v>264112104.9625431</v>
      </c>
      <c r="H32" s="3">
        <f t="shared" si="3"/>
        <v>7905273.3054402759</v>
      </c>
      <c r="I32">
        <f t="shared" si="4"/>
        <v>33.214546352067941</v>
      </c>
    </row>
    <row r="33" spans="1:9" x14ac:dyDescent="0.3">
      <c r="A33" s="1">
        <v>30</v>
      </c>
      <c r="B33" s="2">
        <v>1.1830780000000001E-2</v>
      </c>
      <c r="C33" s="3">
        <f t="shared" si="5"/>
        <v>7858846.7091867439</v>
      </c>
      <c r="D33" s="3">
        <f t="shared" si="0"/>
        <v>7765870.4227166316</v>
      </c>
      <c r="E33" s="3">
        <f t="shared" si="1"/>
        <v>92976.286470112391</v>
      </c>
      <c r="F33">
        <f t="shared" si="2"/>
        <v>0.98816921999999996</v>
      </c>
      <c r="G33" s="3">
        <f>SUM(H33:H$112)</f>
        <v>256206831.65710279</v>
      </c>
      <c r="H33" s="3">
        <f t="shared" si="3"/>
        <v>7812358.5659516882</v>
      </c>
      <c r="I33">
        <f t="shared" si="4"/>
        <v>32.601072541293505</v>
      </c>
    </row>
    <row r="34" spans="1:9" x14ac:dyDescent="0.3">
      <c r="A34" s="1">
        <v>31</v>
      </c>
      <c r="B34" s="2">
        <v>1.217004E-2</v>
      </c>
      <c r="C34" s="3">
        <f t="shared" si="5"/>
        <v>7765870.4227166316</v>
      </c>
      <c r="D34" s="3">
        <f t="shared" si="0"/>
        <v>7671359.4690373531</v>
      </c>
      <c r="E34" s="3">
        <f t="shared" si="1"/>
        <v>94510.953679278493</v>
      </c>
      <c r="F34">
        <f t="shared" si="2"/>
        <v>0.98782996000000001</v>
      </c>
      <c r="G34" s="3">
        <f>SUM(H34:H$112)</f>
        <v>248394473.09115109</v>
      </c>
      <c r="H34" s="3">
        <f t="shared" si="3"/>
        <v>7718614.9458769923</v>
      </c>
      <c r="I34">
        <f t="shared" si="4"/>
        <v>31.985400163843906</v>
      </c>
    </row>
    <row r="35" spans="1:9" x14ac:dyDescent="0.3">
      <c r="A35" s="1">
        <v>32</v>
      </c>
      <c r="B35" s="2">
        <v>1.2424050000000001E-2</v>
      </c>
      <c r="C35" s="3">
        <f t="shared" si="5"/>
        <v>7671359.4690373531</v>
      </c>
      <c r="D35" s="3">
        <f t="shared" si="0"/>
        <v>7576050.1154260598</v>
      </c>
      <c r="E35" s="3">
        <f t="shared" si="1"/>
        <v>95309.353611293249</v>
      </c>
      <c r="F35">
        <f t="shared" si="2"/>
        <v>0.98757595000000009</v>
      </c>
      <c r="G35" s="3">
        <f>SUM(H35:H$112)</f>
        <v>240675858.14527413</v>
      </c>
      <c r="H35" s="3">
        <f t="shared" si="3"/>
        <v>7623704.7922317069</v>
      </c>
      <c r="I35">
        <f t="shared" si="4"/>
        <v>31.373299493613164</v>
      </c>
    </row>
    <row r="36" spans="1:9" x14ac:dyDescent="0.3">
      <c r="A36" s="1">
        <v>33</v>
      </c>
      <c r="B36" s="2">
        <v>1.2606030000000001E-2</v>
      </c>
      <c r="C36" s="3">
        <f t="shared" si="5"/>
        <v>7576050.1154260598</v>
      </c>
      <c r="D36" s="3">
        <f t="shared" si="0"/>
        <v>7480546.2003894951</v>
      </c>
      <c r="E36" s="3">
        <f t="shared" si="1"/>
        <v>95503.915036564693</v>
      </c>
      <c r="F36">
        <f t="shared" si="2"/>
        <v>0.98739396999999995</v>
      </c>
      <c r="G36" s="3">
        <f>SUM(H36:H$112)</f>
        <v>233052153.35304245</v>
      </c>
      <c r="H36" s="3">
        <f t="shared" si="3"/>
        <v>7528298.1579077775</v>
      </c>
      <c r="I36">
        <f t="shared" si="4"/>
        <v>30.761696372429043</v>
      </c>
    </row>
    <row r="37" spans="1:9" x14ac:dyDescent="0.3">
      <c r="A37" s="1">
        <v>34</v>
      </c>
      <c r="B37" s="2">
        <v>1.274172E-2</v>
      </c>
      <c r="C37" s="3">
        <f t="shared" si="5"/>
        <v>7480546.2003894951</v>
      </c>
      <c r="D37" s="3">
        <f t="shared" si="0"/>
        <v>7385231.1752570691</v>
      </c>
      <c r="E37" s="3">
        <f t="shared" si="1"/>
        <v>95315.025132426061</v>
      </c>
      <c r="F37">
        <f t="shared" si="2"/>
        <v>0.98725828000000015</v>
      </c>
      <c r="G37" s="3">
        <f>SUM(H37:H$112)</f>
        <v>225523855.19513467</v>
      </c>
      <c r="H37" s="3">
        <f t="shared" si="3"/>
        <v>7432888.6878232826</v>
      </c>
      <c r="I37">
        <f t="shared" si="4"/>
        <v>30.148046566892688</v>
      </c>
    </row>
    <row r="38" spans="1:9" x14ac:dyDescent="0.3">
      <c r="A38" s="1">
        <v>35</v>
      </c>
      <c r="B38" s="2">
        <v>1.28699E-2</v>
      </c>
      <c r="C38" s="3">
        <f t="shared" si="5"/>
        <v>7385231.1752570691</v>
      </c>
      <c r="D38" s="3">
        <f t="shared" si="0"/>
        <v>7290183.9885546286</v>
      </c>
      <c r="E38" s="3">
        <f t="shared" si="1"/>
        <v>95047.186702440493</v>
      </c>
      <c r="F38">
        <f t="shared" si="2"/>
        <v>0.98713010000000001</v>
      </c>
      <c r="G38" s="3">
        <f>SUM(H38:H$112)</f>
        <v>218090966.5073114</v>
      </c>
      <c r="H38" s="3">
        <f t="shared" si="3"/>
        <v>7337707.5819058493</v>
      </c>
      <c r="I38">
        <f t="shared" si="4"/>
        <v>29.530689200087224</v>
      </c>
    </row>
    <row r="39" spans="1:9" x14ac:dyDescent="0.3">
      <c r="A39" s="1">
        <v>36</v>
      </c>
      <c r="B39" s="2">
        <v>1.313684E-2</v>
      </c>
      <c r="C39" s="3">
        <f t="shared" si="5"/>
        <v>7290183.9885546286</v>
      </c>
      <c r="D39" s="3">
        <f t="shared" si="0"/>
        <v>7194414.007926424</v>
      </c>
      <c r="E39" s="3">
        <f t="shared" si="1"/>
        <v>95769.980628204532</v>
      </c>
      <c r="F39">
        <f t="shared" si="2"/>
        <v>0.98686315999999996</v>
      </c>
      <c r="G39" s="3">
        <f>SUM(H39:H$112)</f>
        <v>210753258.92540553</v>
      </c>
      <c r="H39" s="3">
        <f t="shared" si="3"/>
        <v>7242298.9982405268</v>
      </c>
      <c r="I39">
        <f t="shared" si="4"/>
        <v>28.909182437134902</v>
      </c>
    </row>
    <row r="40" spans="1:9" x14ac:dyDescent="0.3">
      <c r="A40" s="1">
        <v>37</v>
      </c>
      <c r="B40" s="2">
        <v>1.348688E-2</v>
      </c>
      <c r="C40" s="3">
        <f t="shared" si="5"/>
        <v>7194414.007926424</v>
      </c>
      <c r="D40" s="3">
        <f t="shared" si="0"/>
        <v>7097383.8095312016</v>
      </c>
      <c r="E40" s="3">
        <f t="shared" si="1"/>
        <v>97030.198395222425</v>
      </c>
      <c r="F40">
        <f t="shared" si="2"/>
        <v>0.98651312000000002</v>
      </c>
      <c r="G40" s="3">
        <f>SUM(H40:H$112)</f>
        <v>203510959.92716497</v>
      </c>
      <c r="H40" s="3">
        <f t="shared" si="3"/>
        <v>7145898.9087288128</v>
      </c>
      <c r="I40">
        <f t="shared" si="4"/>
        <v>28.287357344593651</v>
      </c>
    </row>
    <row r="41" spans="1:9" x14ac:dyDescent="0.3">
      <c r="A41" s="1">
        <v>38</v>
      </c>
      <c r="B41" s="2">
        <v>1.3928340000000001E-2</v>
      </c>
      <c r="C41" s="3">
        <f t="shared" si="5"/>
        <v>7097383.8095312016</v>
      </c>
      <c r="D41" s="3">
        <f t="shared" si="0"/>
        <v>6998529.0347215561</v>
      </c>
      <c r="E41" s="3">
        <f t="shared" si="1"/>
        <v>98854.774809645489</v>
      </c>
      <c r="F41">
        <f t="shared" si="2"/>
        <v>0.98607166000000002</v>
      </c>
      <c r="G41" s="3">
        <f>SUM(H41:H$112)</f>
        <v>196365061.01843622</v>
      </c>
      <c r="H41" s="3">
        <f t="shared" si="3"/>
        <v>7047956.4221263789</v>
      </c>
      <c r="I41">
        <f t="shared" si="4"/>
        <v>27.667245606012475</v>
      </c>
    </row>
    <row r="42" spans="1:9" x14ac:dyDescent="0.3">
      <c r="A42" s="1">
        <v>39</v>
      </c>
      <c r="B42" s="2">
        <v>1.4463439999999999E-2</v>
      </c>
      <c r="C42" s="3">
        <f t="shared" si="5"/>
        <v>6998529.0347215561</v>
      </c>
      <c r="D42" s="3">
        <f t="shared" si="0"/>
        <v>6897306.2299396032</v>
      </c>
      <c r="E42" s="3">
        <f t="shared" si="1"/>
        <v>101222.80478195287</v>
      </c>
      <c r="F42">
        <f t="shared" si="2"/>
        <v>0.98553656000000001</v>
      </c>
      <c r="G42" s="3">
        <f>SUM(H42:H$112)</f>
        <v>189317104.59630981</v>
      </c>
      <c r="H42" s="3">
        <f t="shared" si="3"/>
        <v>6947917.6323305797</v>
      </c>
      <c r="I42">
        <f t="shared" si="4"/>
        <v>27.050985093732912</v>
      </c>
    </row>
    <row r="43" spans="1:9" x14ac:dyDescent="0.3">
      <c r="A43" s="1">
        <v>40</v>
      </c>
      <c r="B43" s="2">
        <v>1.491453E-2</v>
      </c>
      <c r="C43" s="3">
        <f t="shared" si="5"/>
        <v>6897306.2299396032</v>
      </c>
      <c r="D43" s="3">
        <f t="shared" si="0"/>
        <v>6794436.1492539821</v>
      </c>
      <c r="E43" s="3">
        <f t="shared" si="1"/>
        <v>102870.08068562113</v>
      </c>
      <c r="F43">
        <f t="shared" si="2"/>
        <v>0.98508547000000002</v>
      </c>
      <c r="G43" s="3">
        <f>SUM(H43:H$112)</f>
        <v>182369186.96397921</v>
      </c>
      <c r="H43" s="3">
        <f t="shared" si="3"/>
        <v>6845871.1895967927</v>
      </c>
      <c r="I43">
        <f t="shared" si="4"/>
        <v>26.440639415480344</v>
      </c>
    </row>
    <row r="44" spans="1:9" x14ac:dyDescent="0.3">
      <c r="A44" s="1">
        <v>41</v>
      </c>
      <c r="B44" s="2">
        <v>1.5609639999999999E-2</v>
      </c>
      <c r="C44" s="3">
        <f t="shared" si="5"/>
        <v>6794436.1492539821</v>
      </c>
      <c r="D44" s="3">
        <f t="shared" si="0"/>
        <v>6688377.4469611412</v>
      </c>
      <c r="E44" s="3">
        <f t="shared" si="1"/>
        <v>106058.70229284093</v>
      </c>
      <c r="F44">
        <f t="shared" si="2"/>
        <v>0.98439036000000002</v>
      </c>
      <c r="G44" s="3">
        <f>SUM(H44:H$112)</f>
        <v>175523315.77438241</v>
      </c>
      <c r="H44" s="3">
        <f t="shared" si="3"/>
        <v>6741406.7981075617</v>
      </c>
      <c r="I44">
        <f t="shared" si="4"/>
        <v>25.833389543833537</v>
      </c>
    </row>
    <row r="45" spans="1:9" x14ac:dyDescent="0.3">
      <c r="A45" s="1">
        <v>42</v>
      </c>
      <c r="B45" s="2">
        <v>1.6371489999999999E-2</v>
      </c>
      <c r="C45" s="3">
        <f t="shared" si="5"/>
        <v>6688377.4469611412</v>
      </c>
      <c r="D45" s="3">
        <f t="shared" si="0"/>
        <v>6578878.7424719911</v>
      </c>
      <c r="E45" s="3">
        <f t="shared" si="1"/>
        <v>109498.70448915008</v>
      </c>
      <c r="F45">
        <f t="shared" si="2"/>
        <v>0.98362850999999996</v>
      </c>
      <c r="G45" s="3">
        <f>SUM(H45:H$112)</f>
        <v>168781908.97627485</v>
      </c>
      <c r="H45" s="3">
        <f t="shared" si="3"/>
        <v>6633628.0947165657</v>
      </c>
      <c r="I45">
        <f t="shared" si="4"/>
        <v>25.23510527249935</v>
      </c>
    </row>
    <row r="46" spans="1:9" x14ac:dyDescent="0.3">
      <c r="A46" s="1">
        <v>43</v>
      </c>
      <c r="B46" s="2">
        <v>1.7189329999999999E-2</v>
      </c>
      <c r="C46" s="3">
        <f t="shared" si="5"/>
        <v>6578878.7424719911</v>
      </c>
      <c r="D46" s="3">
        <f t="shared" si="0"/>
        <v>6465792.2247376554</v>
      </c>
      <c r="E46" s="3">
        <f t="shared" si="1"/>
        <v>113086.51773433574</v>
      </c>
      <c r="F46">
        <f t="shared" si="2"/>
        <v>0.98281067</v>
      </c>
      <c r="G46" s="3">
        <f>SUM(H46:H$112)</f>
        <v>162148280.8815583</v>
      </c>
      <c r="H46" s="3">
        <f t="shared" si="3"/>
        <v>6522335.4836048232</v>
      </c>
      <c r="I46">
        <f t="shared" si="4"/>
        <v>24.64679578827921</v>
      </c>
    </row>
    <row r="47" spans="1:9" x14ac:dyDescent="0.3">
      <c r="A47" s="1">
        <v>44</v>
      </c>
      <c r="B47" s="2">
        <v>1.8055120000000001E-2</v>
      </c>
      <c r="C47" s="3">
        <f t="shared" si="5"/>
        <v>6465792.2247376554</v>
      </c>
      <c r="D47" s="3">
        <f t="shared" si="0"/>
        <v>6349051.5702249501</v>
      </c>
      <c r="E47" s="3">
        <f t="shared" si="1"/>
        <v>116740.65451270528</v>
      </c>
      <c r="F47">
        <f t="shared" si="2"/>
        <v>0.98194488000000002</v>
      </c>
      <c r="G47" s="3">
        <f>SUM(H47:H$112)</f>
        <v>155625945.39795345</v>
      </c>
      <c r="H47" s="3">
        <f t="shared" si="3"/>
        <v>6407421.8974813027</v>
      </c>
      <c r="I47">
        <f t="shared" si="4"/>
        <v>24.069122543489691</v>
      </c>
    </row>
    <row r="48" spans="1:9" x14ac:dyDescent="0.3">
      <c r="A48" s="1">
        <v>45</v>
      </c>
      <c r="B48" s="2">
        <v>1.8839829999999998E-2</v>
      </c>
      <c r="C48" s="3">
        <f t="shared" si="5"/>
        <v>6349051.5702249501</v>
      </c>
      <c r="D48" s="3">
        <f t="shared" si="0"/>
        <v>6229436.5179806789</v>
      </c>
      <c r="E48" s="3">
        <f t="shared" si="1"/>
        <v>119615.05224427115</v>
      </c>
      <c r="F48">
        <f t="shared" si="2"/>
        <v>0.98116017</v>
      </c>
      <c r="G48" s="3">
        <f>SUM(H48:H$112)</f>
        <v>149218523.50047216</v>
      </c>
      <c r="H48" s="3">
        <f t="shared" si="3"/>
        <v>6289244.044102814</v>
      </c>
      <c r="I48">
        <f t="shared" si="4"/>
        <v>23.502490387739169</v>
      </c>
    </row>
    <row r="49" spans="1:9" x14ac:dyDescent="0.3">
      <c r="A49" s="1">
        <v>46</v>
      </c>
      <c r="B49" s="2">
        <v>1.978603E-2</v>
      </c>
      <c r="C49" s="3">
        <f t="shared" si="5"/>
        <v>6229436.5179806789</v>
      </c>
      <c r="D49" s="3">
        <f t="shared" si="0"/>
        <v>6106180.7001528172</v>
      </c>
      <c r="E49" s="3">
        <f t="shared" si="1"/>
        <v>123255.81782786176</v>
      </c>
      <c r="F49">
        <f t="shared" si="2"/>
        <v>0.98021396999999988</v>
      </c>
      <c r="G49" s="3">
        <f>SUM(H49:H$112)</f>
        <v>142929279.45636937</v>
      </c>
      <c r="H49" s="3">
        <f t="shared" si="3"/>
        <v>6167808.6090667481</v>
      </c>
      <c r="I49">
        <f t="shared" si="4"/>
        <v>22.944174652686087</v>
      </c>
    </row>
    <row r="50" spans="1:9" x14ac:dyDescent="0.3">
      <c r="A50" s="1">
        <v>47</v>
      </c>
      <c r="B50" s="2">
        <v>2.077704E-2</v>
      </c>
      <c r="C50" s="3">
        <f t="shared" si="5"/>
        <v>6106180.7001528172</v>
      </c>
      <c r="D50" s="3">
        <f t="shared" si="0"/>
        <v>5979312.3394985143</v>
      </c>
      <c r="E50" s="3">
        <f t="shared" si="1"/>
        <v>126868.36065430287</v>
      </c>
      <c r="F50">
        <f t="shared" si="2"/>
        <v>0.97922296000000009</v>
      </c>
      <c r="G50" s="3">
        <f>SUM(H50:H$112)</f>
        <v>136761470.84730262</v>
      </c>
      <c r="H50" s="3">
        <f t="shared" si="3"/>
        <v>6042746.5198256653</v>
      </c>
      <c r="I50">
        <f t="shared" si="4"/>
        <v>22.397219729163918</v>
      </c>
    </row>
    <row r="51" spans="1:9" x14ac:dyDescent="0.3">
      <c r="A51" s="1">
        <v>48</v>
      </c>
      <c r="B51" s="2">
        <v>2.1816269999999999E-2</v>
      </c>
      <c r="C51" s="3">
        <f t="shared" si="5"/>
        <v>5979312.3394985143</v>
      </c>
      <c r="D51" s="3">
        <f t="shared" si="0"/>
        <v>5848866.0470856829</v>
      </c>
      <c r="E51" s="3">
        <f t="shared" si="1"/>
        <v>130446.29241283145</v>
      </c>
      <c r="F51">
        <f t="shared" si="2"/>
        <v>0.97818372999999992</v>
      </c>
      <c r="G51" s="3">
        <f>SUM(H51:H$112)</f>
        <v>130718724.32747696</v>
      </c>
      <c r="H51" s="3">
        <f t="shared" si="3"/>
        <v>5914089.1932920981</v>
      </c>
      <c r="I51">
        <f t="shared" si="4"/>
        <v>21.861832415739023</v>
      </c>
    </row>
    <row r="52" spans="1:9" x14ac:dyDescent="0.3">
      <c r="A52" s="1">
        <v>49</v>
      </c>
      <c r="B52" s="2">
        <v>2.2906070000000001E-2</v>
      </c>
      <c r="C52" s="3">
        <f t="shared" si="5"/>
        <v>5848866.0470856829</v>
      </c>
      <c r="D52" s="3">
        <f t="shared" si="0"/>
        <v>5714891.5119905146</v>
      </c>
      <c r="E52" s="3">
        <f t="shared" si="1"/>
        <v>133974.53509516828</v>
      </c>
      <c r="F52">
        <f t="shared" si="2"/>
        <v>0.97709392999999989</v>
      </c>
      <c r="G52" s="3">
        <f>SUM(H52:H$112)</f>
        <v>124804635.13418487</v>
      </c>
      <c r="H52" s="3">
        <f t="shared" si="3"/>
        <v>5781878.7795380987</v>
      </c>
      <c r="I52">
        <f t="shared" si="4"/>
        <v>21.338261832201017</v>
      </c>
    </row>
    <row r="53" spans="1:9" x14ac:dyDescent="0.3">
      <c r="A53" s="1">
        <v>50</v>
      </c>
      <c r="B53" s="2">
        <v>2.4193550000000001E-2</v>
      </c>
      <c r="C53" s="3">
        <f t="shared" si="5"/>
        <v>5714891.5119905146</v>
      </c>
      <c r="D53" s="3">
        <f t="shared" si="0"/>
        <v>5576627.9984505968</v>
      </c>
      <c r="E53" s="3">
        <f t="shared" si="1"/>
        <v>138263.51353991777</v>
      </c>
      <c r="F53">
        <f t="shared" si="2"/>
        <v>0.9758064500000001</v>
      </c>
      <c r="G53" s="3">
        <f>SUM(H53:H$112)</f>
        <v>119022756.35464677</v>
      </c>
      <c r="H53" s="3">
        <f t="shared" si="3"/>
        <v>5645759.7552205557</v>
      </c>
      <c r="I53">
        <f t="shared" si="4"/>
        <v>20.826774419938335</v>
      </c>
    </row>
    <row r="54" spans="1:9" x14ac:dyDescent="0.3">
      <c r="A54" s="1">
        <v>51</v>
      </c>
      <c r="B54" s="2">
        <v>2.5377819999999999E-2</v>
      </c>
      <c r="C54" s="3">
        <f t="shared" si="5"/>
        <v>5576627.9984505968</v>
      </c>
      <c r="D54" s="3">
        <f t="shared" si="0"/>
        <v>5435105.3368989574</v>
      </c>
      <c r="E54" s="3">
        <f t="shared" si="1"/>
        <v>141522.66155163944</v>
      </c>
      <c r="F54">
        <f t="shared" si="2"/>
        <v>0.97462218</v>
      </c>
      <c r="G54" s="3">
        <f>SUM(H54:H$112)</f>
        <v>113376996.59942622</v>
      </c>
      <c r="H54" s="3">
        <f t="shared" si="3"/>
        <v>5505866.6676747771</v>
      </c>
      <c r="I54">
        <f t="shared" si="4"/>
        <v>20.330744068086798</v>
      </c>
    </row>
    <row r="55" spans="1:9" x14ac:dyDescent="0.3">
      <c r="A55" s="1">
        <v>52</v>
      </c>
      <c r="B55" s="2">
        <v>2.6583610000000001E-2</v>
      </c>
      <c r="C55" s="3">
        <f t="shared" si="5"/>
        <v>5435105.3368989574</v>
      </c>
      <c r="D55" s="3">
        <f t="shared" si="0"/>
        <v>5290620.6163139166</v>
      </c>
      <c r="E55" s="3">
        <f t="shared" si="1"/>
        <v>144484.72058504075</v>
      </c>
      <c r="F55">
        <f t="shared" si="2"/>
        <v>0.97341638999999991</v>
      </c>
      <c r="G55" s="3">
        <f>SUM(H55:H$112)</f>
        <v>107871129.93175146</v>
      </c>
      <c r="H55" s="3">
        <f t="shared" si="3"/>
        <v>5362862.976606437</v>
      </c>
      <c r="I55">
        <f t="shared" si="4"/>
        <v>19.847109346605265</v>
      </c>
    </row>
    <row r="56" spans="1:9" x14ac:dyDescent="0.3">
      <c r="A56" s="1">
        <v>53</v>
      </c>
      <c r="B56" s="2">
        <v>2.778798E-2</v>
      </c>
      <c r="C56" s="3">
        <f t="shared" si="5"/>
        <v>5290620.6163139166</v>
      </c>
      <c r="D56" s="3">
        <f t="shared" si="0"/>
        <v>5143604.9564401973</v>
      </c>
      <c r="E56" s="3">
        <f t="shared" si="1"/>
        <v>147015.65987371933</v>
      </c>
      <c r="F56">
        <f t="shared" si="2"/>
        <v>0.97221201999999984</v>
      </c>
      <c r="G56" s="3">
        <f>SUM(H56:H$112)</f>
        <v>102508266.95514502</v>
      </c>
      <c r="H56" s="3">
        <f t="shared" si="3"/>
        <v>5217112.7863770574</v>
      </c>
      <c r="I56">
        <f t="shared" si="4"/>
        <v>19.375471119409923</v>
      </c>
    </row>
    <row r="57" spans="1:9" x14ac:dyDescent="0.3">
      <c r="A57" s="1">
        <v>54</v>
      </c>
      <c r="B57" s="2">
        <v>2.8966459999999999E-2</v>
      </c>
      <c r="C57" s="3">
        <f t="shared" si="5"/>
        <v>5143604.9564401973</v>
      </c>
      <c r="D57" s="3">
        <f t="shared" si="0"/>
        <v>4994612.9292136701</v>
      </c>
      <c r="E57" s="3">
        <f t="shared" si="1"/>
        <v>148992.02722652722</v>
      </c>
      <c r="F57">
        <f t="shared" si="2"/>
        <v>0.97103353999999986</v>
      </c>
      <c r="G57" s="3">
        <f>SUM(H57:H$112)</f>
        <v>97291154.168767959</v>
      </c>
      <c r="H57" s="3">
        <f t="shared" si="3"/>
        <v>5069108.9428269342</v>
      </c>
      <c r="I57">
        <f t="shared" si="4"/>
        <v>18.914974029440536</v>
      </c>
    </row>
    <row r="58" spans="1:9" x14ac:dyDescent="0.3">
      <c r="A58" s="1">
        <v>55</v>
      </c>
      <c r="B58" s="2">
        <v>3.0234069999999998E-2</v>
      </c>
      <c r="C58" s="3">
        <f t="shared" si="5"/>
        <v>4994612.9292136701</v>
      </c>
      <c r="D58" s="3">
        <f t="shared" si="0"/>
        <v>4843605.4522889191</v>
      </c>
      <c r="E58" s="3">
        <f t="shared" si="1"/>
        <v>151007.47692475095</v>
      </c>
      <c r="F58">
        <f t="shared" si="2"/>
        <v>0.96976593</v>
      </c>
      <c r="G58" s="3">
        <f>SUM(H58:H$112)</f>
        <v>92222045.225941032</v>
      </c>
      <c r="H58" s="3">
        <f t="shared" si="3"/>
        <v>4919109.1907512946</v>
      </c>
      <c r="I58">
        <f t="shared" si="4"/>
        <v>18.464302746371192</v>
      </c>
    </row>
    <row r="59" spans="1:9" x14ac:dyDescent="0.3">
      <c r="A59" s="1">
        <v>56</v>
      </c>
      <c r="B59" s="2">
        <v>3.1306720000000003E-2</v>
      </c>
      <c r="C59" s="3">
        <f t="shared" si="5"/>
        <v>4843605.4522889191</v>
      </c>
      <c r="D59" s="3">
        <f t="shared" si="0"/>
        <v>4691968.0526036369</v>
      </c>
      <c r="E59" s="3">
        <f t="shared" si="1"/>
        <v>151637.39968528226</v>
      </c>
      <c r="F59">
        <f t="shared" si="2"/>
        <v>0.9686932800000001</v>
      </c>
      <c r="G59" s="3">
        <f>SUM(H59:H$112)</f>
        <v>87302936.035189718</v>
      </c>
      <c r="H59" s="3">
        <f t="shared" si="3"/>
        <v>4767786.752446278</v>
      </c>
      <c r="I59">
        <f t="shared" si="4"/>
        <v>18.024369840845189</v>
      </c>
    </row>
    <row r="60" spans="1:9" x14ac:dyDescent="0.3">
      <c r="A60" s="1">
        <v>57</v>
      </c>
      <c r="B60" s="2">
        <v>3.2308429999999999E-2</v>
      </c>
      <c r="C60" s="3">
        <f t="shared" si="5"/>
        <v>4691968.0526036369</v>
      </c>
      <c r="D60" s="3">
        <f t="shared" si="0"/>
        <v>4540377.9312138557</v>
      </c>
      <c r="E60" s="3">
        <f t="shared" si="1"/>
        <v>151590.12138978112</v>
      </c>
      <c r="F60">
        <f t="shared" si="2"/>
        <v>0.96769156999999995</v>
      </c>
      <c r="G60" s="3">
        <f>SUM(H60:H$112)</f>
        <v>82535149.282743439</v>
      </c>
      <c r="H60" s="3">
        <f t="shared" si="3"/>
        <v>4616172.9919087458</v>
      </c>
      <c r="I60">
        <f t="shared" si="4"/>
        <v>17.590731300257588</v>
      </c>
    </row>
    <row r="61" spans="1:9" x14ac:dyDescent="0.3">
      <c r="A61" s="1">
        <v>58</v>
      </c>
      <c r="B61" s="2">
        <v>3.3238999999999998E-2</v>
      </c>
      <c r="C61" s="3">
        <f t="shared" si="5"/>
        <v>4540377.9312138557</v>
      </c>
      <c r="D61" s="3">
        <f t="shared" si="0"/>
        <v>4389460.3091582386</v>
      </c>
      <c r="E61" s="3">
        <f t="shared" si="1"/>
        <v>150917.62205561716</v>
      </c>
      <c r="F61">
        <f t="shared" si="2"/>
        <v>0.96676100000000009</v>
      </c>
      <c r="G61" s="3">
        <f>SUM(H61:H$112)</f>
        <v>77918976.29083468</v>
      </c>
      <c r="H61" s="3">
        <f t="shared" si="3"/>
        <v>4464919.1201860476</v>
      </c>
      <c r="I61">
        <f t="shared" si="4"/>
        <v>17.161341516344496</v>
      </c>
    </row>
    <row r="62" spans="1:9" x14ac:dyDescent="0.3">
      <c r="A62" s="1">
        <v>59</v>
      </c>
      <c r="B62" s="2">
        <v>3.4104160000000001E-2</v>
      </c>
      <c r="C62" s="3">
        <f t="shared" si="5"/>
        <v>4389460.3091582386</v>
      </c>
      <c r="D62" s="3">
        <f t="shared" si="0"/>
        <v>4239761.4524610564</v>
      </c>
      <c r="E62" s="3">
        <f t="shared" si="1"/>
        <v>149698.85669718217</v>
      </c>
      <c r="F62">
        <f t="shared" si="2"/>
        <v>0.96589583999999995</v>
      </c>
      <c r="G62" s="3">
        <f>SUM(H62:H$112)</f>
        <v>73454057.170648649</v>
      </c>
      <c r="H62" s="3">
        <f t="shared" si="3"/>
        <v>4314610.880809648</v>
      </c>
      <c r="I62">
        <f t="shared" si="4"/>
        <v>16.734188715043842</v>
      </c>
    </row>
    <row r="63" spans="1:9" x14ac:dyDescent="0.3">
      <c r="A63" s="1">
        <v>60</v>
      </c>
      <c r="B63" s="2">
        <v>3.5682190000000003E-2</v>
      </c>
      <c r="C63" s="3">
        <f t="shared" si="5"/>
        <v>4239761.4524610564</v>
      </c>
      <c r="D63" s="3">
        <f t="shared" si="0"/>
        <v>4088477.478759665</v>
      </c>
      <c r="E63" s="3">
        <f t="shared" si="1"/>
        <v>151283.97370139137</v>
      </c>
      <c r="F63">
        <f t="shared" si="2"/>
        <v>0.96431781000000005</v>
      </c>
      <c r="G63" s="3">
        <f>SUM(H63:H$112)</f>
        <v>69139446.289839</v>
      </c>
      <c r="H63" s="3">
        <f t="shared" si="3"/>
        <v>4164119.4656103607</v>
      </c>
      <c r="I63">
        <f t="shared" si="4"/>
        <v>16.307390655128863</v>
      </c>
    </row>
    <row r="64" spans="1:9" x14ac:dyDescent="0.3">
      <c r="A64" s="1">
        <v>61</v>
      </c>
      <c r="B64" s="2">
        <v>3.6466220000000001E-2</v>
      </c>
      <c r="C64" s="3">
        <f t="shared" si="5"/>
        <v>4088477.478759665</v>
      </c>
      <c r="D64" s="3">
        <f t="shared" si="0"/>
        <v>3939386.15955417</v>
      </c>
      <c r="E64" s="3">
        <f t="shared" si="1"/>
        <v>149091.31920549506</v>
      </c>
      <c r="F64">
        <f t="shared" si="2"/>
        <v>0.96353378000000001</v>
      </c>
      <c r="G64" s="3">
        <f>SUM(H64:H$112)</f>
        <v>64975326.824228622</v>
      </c>
      <c r="H64" s="3">
        <f t="shared" si="3"/>
        <v>4013931.8191569177</v>
      </c>
      <c r="I64">
        <f t="shared" si="4"/>
        <v>15.89230395955132</v>
      </c>
    </row>
    <row r="65" spans="1:9" x14ac:dyDescent="0.3">
      <c r="A65" s="1">
        <v>62</v>
      </c>
      <c r="B65" s="2">
        <v>3.7221379999999998E-2</v>
      </c>
      <c r="C65" s="3">
        <f t="shared" si="5"/>
        <v>3939386.15955417</v>
      </c>
      <c r="D65" s="3">
        <f t="shared" si="0"/>
        <v>3792756.7703426639</v>
      </c>
      <c r="E65" s="3">
        <f t="shared" si="1"/>
        <v>146629.38921150612</v>
      </c>
      <c r="F65">
        <f t="shared" si="2"/>
        <v>0.96277862000000003</v>
      </c>
      <c r="G65" s="3">
        <f>SUM(H65:H$112)</f>
        <v>60961395.005071692</v>
      </c>
      <c r="H65" s="3">
        <f t="shared" si="3"/>
        <v>3866071.4649484167</v>
      </c>
      <c r="I65">
        <f t="shared" si="4"/>
        <v>15.474846216135065</v>
      </c>
    </row>
    <row r="66" spans="1:9" x14ac:dyDescent="0.3">
      <c r="A66" s="1">
        <v>63</v>
      </c>
      <c r="B66" s="2">
        <v>3.7963110000000001E-2</v>
      </c>
      <c r="C66" s="3">
        <f t="shared" si="5"/>
        <v>3792756.7703426639</v>
      </c>
      <c r="D66" s="3">
        <f t="shared" si="0"/>
        <v>3648771.9278669008</v>
      </c>
      <c r="E66" s="3">
        <f t="shared" si="1"/>
        <v>143984.84247576306</v>
      </c>
      <c r="F66">
        <f t="shared" si="2"/>
        <v>0.96203689000000003</v>
      </c>
      <c r="G66" s="3">
        <f>SUM(H66:H$112)</f>
        <v>57095323.540123276</v>
      </c>
      <c r="H66" s="3">
        <f t="shared" si="3"/>
        <v>3720764.3491047826</v>
      </c>
      <c r="I66">
        <f t="shared" si="4"/>
        <v>15.053779347670874</v>
      </c>
    </row>
    <row r="67" spans="1:9" x14ac:dyDescent="0.3">
      <c r="A67" s="1">
        <v>64</v>
      </c>
      <c r="B67" s="2">
        <v>3.870763E-2</v>
      </c>
      <c r="C67" s="3">
        <f t="shared" si="5"/>
        <v>3648771.9278669008</v>
      </c>
      <c r="D67" s="3">
        <f t="shared" si="0"/>
        <v>3507536.6141286422</v>
      </c>
      <c r="E67" s="3">
        <f t="shared" si="1"/>
        <v>141235.31373825856</v>
      </c>
      <c r="F67">
        <f t="shared" si="2"/>
        <v>0.96129237000000001</v>
      </c>
      <c r="G67" s="3">
        <f>SUM(H67:H$112)</f>
        <v>53374559.191018499</v>
      </c>
      <c r="H67" s="3">
        <f t="shared" si="3"/>
        <v>3578154.2709977715</v>
      </c>
      <c r="I67">
        <f t="shared" si="4"/>
        <v>14.628088640832551</v>
      </c>
    </row>
    <row r="68" spans="1:9" x14ac:dyDescent="0.3">
      <c r="A68" s="1">
        <v>65</v>
      </c>
      <c r="B68" s="2">
        <v>4.0074930000000002E-2</v>
      </c>
      <c r="C68" s="3">
        <f t="shared" si="5"/>
        <v>3507536.6141286422</v>
      </c>
      <c r="D68" s="3">
        <f t="shared" ref="D68:D113" si="6">C69</f>
        <v>3366972.3298450001</v>
      </c>
      <c r="E68" s="3">
        <f t="shared" ref="E68:E113" si="7">C68-D68</f>
        <v>140564.28428364219</v>
      </c>
      <c r="F68">
        <f t="shared" ref="F68:F113" si="8">D68/C68</f>
        <v>0.95992507000000005</v>
      </c>
      <c r="G68" s="3">
        <f>SUM(H68:H$112)</f>
        <v>49796404.920020722</v>
      </c>
      <c r="H68" s="3">
        <f t="shared" ref="H68:H112" si="9">AVERAGE(C68:D68)</f>
        <v>3437254.4719868209</v>
      </c>
      <c r="I68">
        <f t="shared" ref="I68:I113" si="10">G68/C68</f>
        <v>14.196973659358754</v>
      </c>
    </row>
    <row r="69" spans="1:9" x14ac:dyDescent="0.3">
      <c r="A69" s="1">
        <v>66</v>
      </c>
      <c r="B69" s="2">
        <v>4.0896399999999999E-2</v>
      </c>
      <c r="C69" s="3">
        <f t="shared" ref="C69:C113" si="11">C68*(1-B68)</f>
        <v>3366972.3298450001</v>
      </c>
      <c r="D69" s="3">
        <f t="shared" si="6"/>
        <v>3229275.2826547269</v>
      </c>
      <c r="E69" s="3">
        <f t="shared" si="7"/>
        <v>137697.04719027318</v>
      </c>
      <c r="F69">
        <f t="shared" si="8"/>
        <v>0.95910359999999995</v>
      </c>
      <c r="G69" s="3">
        <f>SUM(H69:H$112)</f>
        <v>46359150.448033907</v>
      </c>
      <c r="H69" s="3">
        <f t="shared" si="9"/>
        <v>3298123.8062498635</v>
      </c>
      <c r="I69">
        <f t="shared" si="10"/>
        <v>13.768794604310891</v>
      </c>
    </row>
    <row r="70" spans="1:9" x14ac:dyDescent="0.3">
      <c r="A70" s="1">
        <v>67</v>
      </c>
      <c r="B70" s="2">
        <v>4.1788829999999999E-2</v>
      </c>
      <c r="C70" s="3">
        <f t="shared" si="11"/>
        <v>3229275.2826547269</v>
      </c>
      <c r="D70" s="3">
        <f t="shared" si="6"/>
        <v>3094327.6468446665</v>
      </c>
      <c r="E70" s="3">
        <f t="shared" si="7"/>
        <v>134947.63581006043</v>
      </c>
      <c r="F70">
        <f t="shared" si="8"/>
        <v>0.95821117</v>
      </c>
      <c r="G70" s="3">
        <f>SUM(H70:H$112)</f>
        <v>43061026.641784035</v>
      </c>
      <c r="H70" s="3">
        <f t="shared" si="9"/>
        <v>3161801.4647496967</v>
      </c>
      <c r="I70">
        <f t="shared" si="10"/>
        <v>13.334579084377213</v>
      </c>
    </row>
    <row r="71" spans="1:9" x14ac:dyDescent="0.3">
      <c r="A71" s="1">
        <v>68</v>
      </c>
      <c r="B71" s="2">
        <v>4.2783370000000001E-2</v>
      </c>
      <c r="C71" s="3">
        <f t="shared" si="11"/>
        <v>3094327.6468446665</v>
      </c>
      <c r="D71" s="3">
        <f t="shared" si="6"/>
        <v>2961941.8822284816</v>
      </c>
      <c r="E71" s="3">
        <f t="shared" si="7"/>
        <v>132385.76461618487</v>
      </c>
      <c r="F71">
        <f t="shared" si="8"/>
        <v>0.9572166299999999</v>
      </c>
      <c r="G71" s="3">
        <f>SUM(H71:H$112)</f>
        <v>39899225.177034348</v>
      </c>
      <c r="H71" s="3">
        <f t="shared" si="9"/>
        <v>3028134.764536574</v>
      </c>
      <c r="I71">
        <f t="shared" si="10"/>
        <v>12.894311698930849</v>
      </c>
    </row>
    <row r="72" spans="1:9" x14ac:dyDescent="0.3">
      <c r="A72" s="1">
        <v>69</v>
      </c>
      <c r="B72" s="2">
        <v>4.3915679999999999E-2</v>
      </c>
      <c r="C72" s="3">
        <f t="shared" si="11"/>
        <v>2961941.8822284816</v>
      </c>
      <c r="D72" s="3">
        <f t="shared" si="6"/>
        <v>2831866.1903499379</v>
      </c>
      <c r="E72" s="3">
        <f t="shared" si="7"/>
        <v>130075.6918785437</v>
      </c>
      <c r="F72">
        <f t="shared" si="8"/>
        <v>0.95608431999999999</v>
      </c>
      <c r="G72" s="3">
        <f>SUM(H72:H$112)</f>
        <v>36871090.412497781</v>
      </c>
      <c r="H72" s="3">
        <f t="shared" si="9"/>
        <v>2896904.0362892095</v>
      </c>
      <c r="I72">
        <f t="shared" si="10"/>
        <v>12.448282876082974</v>
      </c>
    </row>
    <row r="73" spans="1:9" x14ac:dyDescent="0.3">
      <c r="A73" s="1">
        <v>70</v>
      </c>
      <c r="B73" s="2">
        <v>4.5299939999999997E-2</v>
      </c>
      <c r="C73" s="3">
        <f t="shared" si="11"/>
        <v>2831866.1903499379</v>
      </c>
      <c r="D73" s="3">
        <f t="shared" si="6"/>
        <v>2703582.8218390569</v>
      </c>
      <c r="E73" s="3">
        <f t="shared" si="7"/>
        <v>128283.36851088097</v>
      </c>
      <c r="F73">
        <f t="shared" si="8"/>
        <v>0.95470005999999996</v>
      </c>
      <c r="G73" s="3">
        <f>SUM(H73:H$112)</f>
        <v>33974186.376208574</v>
      </c>
      <c r="H73" s="3">
        <f t="shared" si="9"/>
        <v>2767724.5060944976</v>
      </c>
      <c r="I73">
        <f t="shared" si="10"/>
        <v>11.997101590456975</v>
      </c>
    </row>
    <row r="74" spans="1:9" x14ac:dyDescent="0.3">
      <c r="A74" s="1">
        <v>71</v>
      </c>
      <c r="B74" s="2">
        <v>4.6835330000000001E-2</v>
      </c>
      <c r="C74" s="3">
        <f t="shared" si="11"/>
        <v>2703582.8218390569</v>
      </c>
      <c r="D74" s="3">
        <f t="shared" si="6"/>
        <v>2576959.6281958935</v>
      </c>
      <c r="E74" s="3">
        <f t="shared" si="7"/>
        <v>126623.19364316342</v>
      </c>
      <c r="F74">
        <f t="shared" si="8"/>
        <v>0.95316467000000005</v>
      </c>
      <c r="G74" s="3">
        <f>SUM(H74:H$112)</f>
        <v>31206461.870114084</v>
      </c>
      <c r="H74" s="3">
        <f t="shared" si="9"/>
        <v>2640271.225017475</v>
      </c>
      <c r="I74">
        <f t="shared" si="10"/>
        <v>11.54263210212533</v>
      </c>
    </row>
    <row r="75" spans="1:9" x14ac:dyDescent="0.3">
      <c r="A75" s="1">
        <v>72</v>
      </c>
      <c r="B75" s="2">
        <v>4.8640910000000002E-2</v>
      </c>
      <c r="C75" s="3">
        <f t="shared" si="11"/>
        <v>2576959.6281958935</v>
      </c>
      <c r="D75" s="3">
        <f t="shared" si="6"/>
        <v>2451613.9668471836</v>
      </c>
      <c r="E75" s="3">
        <f t="shared" si="7"/>
        <v>125345.66134870984</v>
      </c>
      <c r="F75">
        <f t="shared" si="8"/>
        <v>0.95135909000000007</v>
      </c>
      <c r="G75" s="3">
        <f>SUM(H75:H$112)</f>
        <v>28566190.645096608</v>
      </c>
      <c r="H75" s="3">
        <f t="shared" si="9"/>
        <v>2514286.7975215386</v>
      </c>
      <c r="I75">
        <f t="shared" si="10"/>
        <v>11.085230180767537</v>
      </c>
    </row>
    <row r="76" spans="1:9" x14ac:dyDescent="0.3">
      <c r="A76" s="1">
        <v>73</v>
      </c>
      <c r="B76" s="2">
        <v>5.0765329999999997E-2</v>
      </c>
      <c r="C76" s="3">
        <f t="shared" si="11"/>
        <v>2451613.9668471836</v>
      </c>
      <c r="D76" s="3">
        <f t="shared" si="6"/>
        <v>2327156.9747875775</v>
      </c>
      <c r="E76" s="3">
        <f t="shared" si="7"/>
        <v>124456.99205960613</v>
      </c>
      <c r="F76">
        <f t="shared" si="8"/>
        <v>0.94923467000000006</v>
      </c>
      <c r="G76" s="3">
        <f>SUM(H76:H$112)</f>
        <v>26051903.847575068</v>
      </c>
      <c r="H76" s="3">
        <f t="shared" si="9"/>
        <v>2389385.4708173806</v>
      </c>
      <c r="I76">
        <f t="shared" si="10"/>
        <v>10.626429853913033</v>
      </c>
    </row>
    <row r="77" spans="1:9" x14ac:dyDescent="0.3">
      <c r="A77" s="1">
        <v>74</v>
      </c>
      <c r="B77" s="2">
        <v>5.3256299999999999E-2</v>
      </c>
      <c r="C77" s="3">
        <f t="shared" si="11"/>
        <v>2327156.9747875775</v>
      </c>
      <c r="D77" s="3">
        <f t="shared" si="6"/>
        <v>2203221.2047911976</v>
      </c>
      <c r="E77" s="3">
        <f t="shared" si="7"/>
        <v>123935.76999637997</v>
      </c>
      <c r="F77">
        <f t="shared" si="8"/>
        <v>0.94674369999999985</v>
      </c>
      <c r="G77" s="3">
        <f>SUM(H77:H$112)</f>
        <v>23662518.376757685</v>
      </c>
      <c r="H77" s="3">
        <f t="shared" si="9"/>
        <v>2265189.0897893878</v>
      </c>
      <c r="I77">
        <f t="shared" si="10"/>
        <v>10.167994094561497</v>
      </c>
    </row>
    <row r="78" spans="1:9" x14ac:dyDescent="0.3">
      <c r="A78" s="1">
        <v>75</v>
      </c>
      <c r="B78" s="2">
        <v>5.7149190000000002E-2</v>
      </c>
      <c r="C78" s="3">
        <f t="shared" si="11"/>
        <v>2203221.2047911976</v>
      </c>
      <c r="D78" s="3">
        <f t="shared" si="6"/>
        <v>2077308.8975465565</v>
      </c>
      <c r="E78" s="3">
        <f t="shared" si="7"/>
        <v>125912.30724464101</v>
      </c>
      <c r="F78">
        <f t="shared" si="8"/>
        <v>0.94285081000000004</v>
      </c>
      <c r="G78" s="3">
        <f>SUM(H78:H$112)</f>
        <v>21397329.286968298</v>
      </c>
      <c r="H78" s="3">
        <f t="shared" si="9"/>
        <v>2140265.0511688772</v>
      </c>
      <c r="I78">
        <f t="shared" si="10"/>
        <v>9.7118388477911157</v>
      </c>
    </row>
    <row r="79" spans="1:9" x14ac:dyDescent="0.3">
      <c r="A79" s="1">
        <v>76</v>
      </c>
      <c r="B79" s="2">
        <v>6.0557229999999997E-2</v>
      </c>
      <c r="C79" s="3">
        <f t="shared" si="11"/>
        <v>2077308.8975465565</v>
      </c>
      <c r="D79" s="3">
        <f t="shared" si="6"/>
        <v>1951512.8248567833</v>
      </c>
      <c r="E79" s="3">
        <f t="shared" si="7"/>
        <v>125796.07268977328</v>
      </c>
      <c r="F79">
        <f t="shared" si="8"/>
        <v>0.93944276999999998</v>
      </c>
      <c r="G79" s="3">
        <f>SUM(H79:H$112)</f>
        <v>19257064.235799421</v>
      </c>
      <c r="H79" s="3">
        <f t="shared" si="9"/>
        <v>2014410.86120167</v>
      </c>
      <c r="I79">
        <f t="shared" si="10"/>
        <v>9.2701977344550563</v>
      </c>
    </row>
    <row r="80" spans="1:9" x14ac:dyDescent="0.3">
      <c r="A80" s="1">
        <v>77</v>
      </c>
      <c r="B80" s="2">
        <v>6.4447969999999993E-2</v>
      </c>
      <c r="C80" s="3">
        <f t="shared" si="11"/>
        <v>1951512.8248567833</v>
      </c>
      <c r="D80" s="3">
        <f t="shared" si="6"/>
        <v>1825741.784865798</v>
      </c>
      <c r="E80" s="3">
        <f t="shared" si="7"/>
        <v>125771.0399909853</v>
      </c>
      <c r="F80">
        <f t="shared" si="8"/>
        <v>0.93555202999999998</v>
      </c>
      <c r="G80" s="3">
        <f>SUM(H80:H$112)</f>
        <v>17242653.374597747</v>
      </c>
      <c r="H80" s="3">
        <f t="shared" si="9"/>
        <v>1888627.3048612906</v>
      </c>
      <c r="I80">
        <f t="shared" si="10"/>
        <v>8.8355316731588189</v>
      </c>
    </row>
    <row r="81" spans="1:9" x14ac:dyDescent="0.3">
      <c r="A81" s="1">
        <v>78</v>
      </c>
      <c r="B81" s="2">
        <v>6.8835709999999994E-2</v>
      </c>
      <c r="C81" s="3">
        <f t="shared" si="11"/>
        <v>1825741.784865798</v>
      </c>
      <c r="D81" s="3">
        <f t="shared" si="6"/>
        <v>1700065.5528278935</v>
      </c>
      <c r="E81" s="3">
        <f t="shared" si="7"/>
        <v>125676.23203790444</v>
      </c>
      <c r="F81">
        <f t="shared" si="8"/>
        <v>0.93116429000000001</v>
      </c>
      <c r="G81" s="3">
        <f>SUM(H81:H$112)</f>
        <v>15354026.069736455</v>
      </c>
      <c r="H81" s="3">
        <f t="shared" si="9"/>
        <v>1762903.6688468456</v>
      </c>
      <c r="I81">
        <f t="shared" si="10"/>
        <v>8.4097467654031153</v>
      </c>
    </row>
    <row r="82" spans="1:9" x14ac:dyDescent="0.3">
      <c r="A82" s="1">
        <v>79</v>
      </c>
      <c r="B82" s="2">
        <v>7.3719789999999993E-2</v>
      </c>
      <c r="C82" s="3">
        <f t="shared" si="11"/>
        <v>1700065.5528278935</v>
      </c>
      <c r="D82" s="3">
        <f t="shared" si="6"/>
        <v>1574737.0772871873</v>
      </c>
      <c r="E82" s="3">
        <f t="shared" si="7"/>
        <v>125328.47554070619</v>
      </c>
      <c r="F82">
        <f t="shared" si="8"/>
        <v>0.92628021000000005</v>
      </c>
      <c r="G82" s="3">
        <f>SUM(H82:H$112)</f>
        <v>13591122.400889609</v>
      </c>
      <c r="H82" s="3">
        <f t="shared" si="9"/>
        <v>1637401.3150575403</v>
      </c>
      <c r="I82">
        <f t="shared" si="10"/>
        <v>7.9944696122347167</v>
      </c>
    </row>
    <row r="83" spans="1:9" x14ac:dyDescent="0.3">
      <c r="A83" s="1">
        <v>80</v>
      </c>
      <c r="B83" s="2">
        <v>8.0051689999999995E-2</v>
      </c>
      <c r="C83" s="3">
        <f t="shared" si="11"/>
        <v>1574737.0772871873</v>
      </c>
      <c r="D83" s="3">
        <f t="shared" si="6"/>
        <v>1448676.7129446873</v>
      </c>
      <c r="E83" s="3">
        <f t="shared" si="7"/>
        <v>126060.36434249999</v>
      </c>
      <c r="F83">
        <f t="shared" si="8"/>
        <v>0.91994830999999999</v>
      </c>
      <c r="G83" s="3">
        <f>SUM(H83:H$112)</f>
        <v>11953721.085832069</v>
      </c>
      <c r="H83" s="3">
        <f t="shared" si="9"/>
        <v>1511706.8951159373</v>
      </c>
      <c r="I83">
        <f t="shared" si="10"/>
        <v>7.5909313740328281</v>
      </c>
    </row>
    <row r="84" spans="1:9" x14ac:dyDescent="0.3">
      <c r="A84" s="1">
        <v>81</v>
      </c>
      <c r="B84" s="2">
        <v>8.593481E-2</v>
      </c>
      <c r="C84" s="3">
        <f t="shared" si="11"/>
        <v>1448676.7129446873</v>
      </c>
      <c r="D84" s="3">
        <f t="shared" si="6"/>
        <v>1324184.9548663611</v>
      </c>
      <c r="E84" s="3">
        <f t="shared" si="7"/>
        <v>124491.75807832624</v>
      </c>
      <c r="F84">
        <f t="shared" si="8"/>
        <v>0.91406518999999997</v>
      </c>
      <c r="G84" s="3">
        <f>SUM(H84:H$112)</f>
        <v>10442014.190716133</v>
      </c>
      <c r="H84" s="3">
        <f t="shared" si="9"/>
        <v>1386430.8339055241</v>
      </c>
      <c r="I84">
        <f t="shared" si="10"/>
        <v>7.207967172669548</v>
      </c>
    </row>
    <row r="85" spans="1:9" x14ac:dyDescent="0.3">
      <c r="A85" s="1">
        <v>82</v>
      </c>
      <c r="B85" s="2">
        <v>9.2223979999999997E-2</v>
      </c>
      <c r="C85" s="3">
        <f t="shared" si="11"/>
        <v>1324184.9548663611</v>
      </c>
      <c r="D85" s="3">
        <f t="shared" si="6"/>
        <v>1202063.348072465</v>
      </c>
      <c r="E85" s="3">
        <f t="shared" si="7"/>
        <v>122121.60679389606</v>
      </c>
      <c r="F85">
        <f t="shared" si="8"/>
        <v>0.90777602000000013</v>
      </c>
      <c r="G85" s="3">
        <f>SUM(H85:H$112)</f>
        <v>9055583.3568106089</v>
      </c>
      <c r="H85" s="3">
        <f t="shared" si="9"/>
        <v>1263124.1514694132</v>
      </c>
      <c r="I85">
        <f t="shared" si="10"/>
        <v>6.8386091561692099</v>
      </c>
    </row>
    <row r="86" spans="1:9" x14ac:dyDescent="0.3">
      <c r="A86" s="1">
        <v>83</v>
      </c>
      <c r="B86" s="2">
        <v>9.8858440000000006E-2</v>
      </c>
      <c r="C86" s="3">
        <f t="shared" si="11"/>
        <v>1202063.348072465</v>
      </c>
      <c r="D86" s="3">
        <f t="shared" si="6"/>
        <v>1083229.2407008442</v>
      </c>
      <c r="E86" s="3">
        <f t="shared" si="7"/>
        <v>118834.10737162083</v>
      </c>
      <c r="F86">
        <f t="shared" si="8"/>
        <v>0.90114156000000001</v>
      </c>
      <c r="G86" s="3">
        <f>SUM(H86:H$112)</f>
        <v>7792459.2053412013</v>
      </c>
      <c r="H86" s="3">
        <f t="shared" si="9"/>
        <v>1142646.2943866546</v>
      </c>
      <c r="I86">
        <f t="shared" si="10"/>
        <v>6.4825695067041025</v>
      </c>
    </row>
    <row r="87" spans="1:9" x14ac:dyDescent="0.3">
      <c r="A87" s="1">
        <v>84</v>
      </c>
      <c r="B87" s="2">
        <v>0.10576600999999999</v>
      </c>
      <c r="C87" s="3">
        <f t="shared" si="11"/>
        <v>1083229.2407008442</v>
      </c>
      <c r="D87" s="3">
        <f t="shared" si="6"/>
        <v>968660.40599658631</v>
      </c>
      <c r="E87" s="3">
        <f t="shared" si="7"/>
        <v>114568.8347042579</v>
      </c>
      <c r="F87">
        <f t="shared" si="8"/>
        <v>0.89423399000000003</v>
      </c>
      <c r="G87" s="3">
        <f>SUM(H87:H$112)</f>
        <v>6649812.9109545453</v>
      </c>
      <c r="H87" s="3">
        <f t="shared" si="9"/>
        <v>1025944.8233487152</v>
      </c>
      <c r="I87">
        <f t="shared" si="10"/>
        <v>6.1388786981527081</v>
      </c>
    </row>
    <row r="88" spans="1:9" x14ac:dyDescent="0.3">
      <c r="A88" s="1">
        <v>85</v>
      </c>
      <c r="B88" s="2">
        <v>0.11424258</v>
      </c>
      <c r="C88" s="3">
        <f t="shared" si="11"/>
        <v>968660.40599658631</v>
      </c>
      <c r="D88" s="3">
        <f t="shared" si="6"/>
        <v>857998.14207168878</v>
      </c>
      <c r="E88" s="3">
        <f t="shared" si="7"/>
        <v>110662.26392489753</v>
      </c>
      <c r="F88">
        <f t="shared" si="8"/>
        <v>0.88575741999999991</v>
      </c>
      <c r="G88" s="3">
        <f>SUM(H88:H$112)</f>
        <v>5623868.0876058294</v>
      </c>
      <c r="H88" s="3">
        <f t="shared" si="9"/>
        <v>913329.2740341376</v>
      </c>
      <c r="I88">
        <f t="shared" si="10"/>
        <v>5.8058201334448354</v>
      </c>
    </row>
    <row r="89" spans="1:9" x14ac:dyDescent="0.3">
      <c r="A89" s="1">
        <v>86</v>
      </c>
      <c r="B89" s="2">
        <v>0.121534</v>
      </c>
      <c r="C89" s="3">
        <f t="shared" si="11"/>
        <v>857998.14207168878</v>
      </c>
      <c r="D89" s="3">
        <f t="shared" si="6"/>
        <v>753722.19587314816</v>
      </c>
      <c r="E89" s="3">
        <f t="shared" si="7"/>
        <v>104275.94619854062</v>
      </c>
      <c r="F89">
        <f t="shared" si="8"/>
        <v>0.87846599999999997</v>
      </c>
      <c r="G89" s="3">
        <f>SUM(H89:H$112)</f>
        <v>4710538.8135716915</v>
      </c>
      <c r="H89" s="3">
        <f t="shared" si="9"/>
        <v>805860.16897241841</v>
      </c>
      <c r="I89">
        <f t="shared" si="10"/>
        <v>5.4901503658245794</v>
      </c>
    </row>
    <row r="90" spans="1:9" x14ac:dyDescent="0.3">
      <c r="A90" s="1">
        <v>87</v>
      </c>
      <c r="B90" s="2">
        <v>0.12964851999999999</v>
      </c>
      <c r="C90" s="3">
        <f t="shared" si="11"/>
        <v>753722.19587314816</v>
      </c>
      <c r="D90" s="3">
        <f t="shared" si="6"/>
        <v>656003.22868704447</v>
      </c>
      <c r="E90" s="3">
        <f t="shared" si="7"/>
        <v>97718.967186103691</v>
      </c>
      <c r="F90">
        <f t="shared" si="8"/>
        <v>0.87035148000000007</v>
      </c>
      <c r="G90" s="3">
        <f>SUM(H90:H$112)</f>
        <v>3904678.6445992724</v>
      </c>
      <c r="H90" s="3">
        <f t="shared" si="9"/>
        <v>704862.71228009625</v>
      </c>
      <c r="I90">
        <f t="shared" si="10"/>
        <v>5.1805276081539624</v>
      </c>
    </row>
    <row r="91" spans="1:9" x14ac:dyDescent="0.3">
      <c r="A91" s="1">
        <v>88</v>
      </c>
      <c r="B91" s="2">
        <v>0.13990696</v>
      </c>
      <c r="C91" s="3">
        <f t="shared" si="11"/>
        <v>656003.22868704447</v>
      </c>
      <c r="D91" s="3">
        <f t="shared" si="6"/>
        <v>564223.81121125526</v>
      </c>
      <c r="E91" s="3">
        <f t="shared" si="7"/>
        <v>91779.417475789203</v>
      </c>
      <c r="F91">
        <f t="shared" si="8"/>
        <v>0.86009303999999998</v>
      </c>
      <c r="G91" s="3">
        <f>SUM(H91:H$112)</f>
        <v>3199815.9323191759</v>
      </c>
      <c r="H91" s="3">
        <f t="shared" si="9"/>
        <v>610113.51994914981</v>
      </c>
      <c r="I91">
        <f t="shared" si="10"/>
        <v>4.8777441823319023</v>
      </c>
    </row>
    <row r="92" spans="1:9" x14ac:dyDescent="0.3">
      <c r="A92" s="1">
        <v>89</v>
      </c>
      <c r="B92" s="2">
        <v>0.15006501</v>
      </c>
      <c r="C92" s="3">
        <f t="shared" si="11"/>
        <v>564223.81121125526</v>
      </c>
      <c r="D92" s="3">
        <f t="shared" si="6"/>
        <v>479553.55933960009</v>
      </c>
      <c r="E92" s="3">
        <f t="shared" si="7"/>
        <v>84670.251871655171</v>
      </c>
      <c r="F92">
        <f t="shared" si="8"/>
        <v>0.84993498999999995</v>
      </c>
      <c r="G92" s="3">
        <f>SUM(H92:H$112)</f>
        <v>2589702.4123700266</v>
      </c>
      <c r="H92" s="3">
        <f t="shared" si="9"/>
        <v>521888.68527542765</v>
      </c>
      <c r="I92">
        <f t="shared" si="10"/>
        <v>4.5898495613124641</v>
      </c>
    </row>
    <row r="93" spans="1:9" x14ac:dyDescent="0.3">
      <c r="A93" s="1">
        <v>90</v>
      </c>
      <c r="B93" s="2">
        <v>0.16293381000000001</v>
      </c>
      <c r="C93" s="3">
        <f t="shared" si="11"/>
        <v>479553.55933960009</v>
      </c>
      <c r="D93" s="3">
        <f t="shared" si="6"/>
        <v>401418.07081733801</v>
      </c>
      <c r="E93" s="3">
        <f t="shared" si="7"/>
        <v>78135.48852226208</v>
      </c>
      <c r="F93">
        <f t="shared" si="8"/>
        <v>0.83706619000000004</v>
      </c>
      <c r="G93" s="3">
        <f>SUM(H93:H$112)</f>
        <v>2067813.7270945988</v>
      </c>
      <c r="H93" s="3">
        <f t="shared" si="9"/>
        <v>440485.81507846905</v>
      </c>
      <c r="I93">
        <f t="shared" si="10"/>
        <v>4.3119557488890585</v>
      </c>
    </row>
    <row r="94" spans="1:9" x14ac:dyDescent="0.3">
      <c r="A94" s="1">
        <v>91</v>
      </c>
      <c r="B94" s="2">
        <v>0.17478192000000001</v>
      </c>
      <c r="C94" s="3">
        <f t="shared" si="11"/>
        <v>401418.07081733801</v>
      </c>
      <c r="D94" s="3">
        <f t="shared" si="6"/>
        <v>331257.44967718772</v>
      </c>
      <c r="E94" s="3">
        <f t="shared" si="7"/>
        <v>70160.621140150295</v>
      </c>
      <c r="F94">
        <f t="shared" si="8"/>
        <v>0.82521808000000008</v>
      </c>
      <c r="G94" s="3">
        <f>SUM(H94:H$112)</f>
        <v>1627327.9120161298</v>
      </c>
      <c r="H94" s="3">
        <f t="shared" si="9"/>
        <v>366337.76024726289</v>
      </c>
      <c r="I94">
        <f t="shared" si="10"/>
        <v>4.0539478173035013</v>
      </c>
    </row>
    <row r="95" spans="1:9" x14ac:dyDescent="0.3">
      <c r="A95" s="1">
        <v>92</v>
      </c>
      <c r="B95" s="2">
        <v>0.18747762000000001</v>
      </c>
      <c r="C95" s="3">
        <f t="shared" si="11"/>
        <v>331257.44967718772</v>
      </c>
      <c r="D95" s="3">
        <f t="shared" si="6"/>
        <v>269154.09140443878</v>
      </c>
      <c r="E95" s="3">
        <f t="shared" si="7"/>
        <v>62103.358272748941</v>
      </c>
      <c r="F95">
        <f t="shared" si="8"/>
        <v>0.81252237999999999</v>
      </c>
      <c r="G95" s="3">
        <f>SUM(H95:H$112)</f>
        <v>1260990.1517688669</v>
      </c>
      <c r="H95" s="3">
        <f t="shared" si="9"/>
        <v>300205.77054081322</v>
      </c>
      <c r="I95">
        <f t="shared" si="10"/>
        <v>3.8066771117078546</v>
      </c>
    </row>
    <row r="96" spans="1:9" x14ac:dyDescent="0.3">
      <c r="A96" s="1">
        <v>93</v>
      </c>
      <c r="B96" s="2">
        <v>0.20106320999999999</v>
      </c>
      <c r="C96" s="3">
        <f t="shared" si="11"/>
        <v>269154.09140443878</v>
      </c>
      <c r="D96" s="3">
        <f t="shared" si="6"/>
        <v>215037.10580202891</v>
      </c>
      <c r="E96" s="3">
        <f t="shared" si="7"/>
        <v>54116.98560240987</v>
      </c>
      <c r="F96">
        <f t="shared" si="8"/>
        <v>0.79893678999999995</v>
      </c>
      <c r="G96" s="3">
        <f>SUM(H96:H$112)</f>
        <v>960784.38122805324</v>
      </c>
      <c r="H96" s="3">
        <f t="shared" si="9"/>
        <v>242095.59860323384</v>
      </c>
      <c r="I96">
        <f t="shared" si="10"/>
        <v>3.5696443483905682</v>
      </c>
    </row>
    <row r="97" spans="1:9" x14ac:dyDescent="0.3">
      <c r="A97" s="1">
        <v>94</v>
      </c>
      <c r="B97" s="2">
        <v>0.21557973999999999</v>
      </c>
      <c r="C97" s="3">
        <f t="shared" si="11"/>
        <v>215037.10580202891</v>
      </c>
      <c r="D97" s="3">
        <f t="shared" si="6"/>
        <v>168679.46244287502</v>
      </c>
      <c r="E97" s="3">
        <f t="shared" si="7"/>
        <v>46357.643359153881</v>
      </c>
      <c r="F97">
        <f t="shared" si="8"/>
        <v>0.78442025999999998</v>
      </c>
      <c r="G97" s="3">
        <f>SUM(H97:H$112)</f>
        <v>718688.78262481932</v>
      </c>
      <c r="H97" s="3">
        <f t="shared" si="9"/>
        <v>191858.28412245197</v>
      </c>
      <c r="I97">
        <f t="shared" si="10"/>
        <v>3.3421617164363751</v>
      </c>
    </row>
    <row r="98" spans="1:9" x14ac:dyDescent="0.3">
      <c r="A98" s="1">
        <v>95</v>
      </c>
      <c r="B98" s="2">
        <v>0.23386841999999999</v>
      </c>
      <c r="C98" s="3">
        <f t="shared" si="11"/>
        <v>168679.46244287502</v>
      </c>
      <c r="D98" s="3">
        <f t="shared" si="6"/>
        <v>129230.66307491051</v>
      </c>
      <c r="E98" s="3">
        <f t="shared" si="7"/>
        <v>39448.799367964515</v>
      </c>
      <c r="F98">
        <f t="shared" si="8"/>
        <v>0.76613158000000003</v>
      </c>
      <c r="G98" s="3">
        <f>SUM(H98:H$112)</f>
        <v>526830.49850236741</v>
      </c>
      <c r="H98" s="3">
        <f t="shared" si="9"/>
        <v>148955.06275889277</v>
      </c>
      <c r="I98">
        <f t="shared" si="10"/>
        <v>3.1232640350675993</v>
      </c>
    </row>
    <row r="99" spans="1:9" x14ac:dyDescent="0.3">
      <c r="A99" s="1">
        <v>96</v>
      </c>
      <c r="B99" s="2">
        <v>0.25056103000000002</v>
      </c>
      <c r="C99" s="3">
        <f t="shared" si="11"/>
        <v>129230.66307491051</v>
      </c>
      <c r="D99" s="3">
        <f t="shared" si="6"/>
        <v>96850.495027277953</v>
      </c>
      <c r="E99" s="3">
        <f t="shared" si="7"/>
        <v>32380.168047632556</v>
      </c>
      <c r="F99">
        <f t="shared" si="8"/>
        <v>0.74943896999999993</v>
      </c>
      <c r="G99" s="3">
        <f>SUM(H99:H$112)</f>
        <v>377875.43574347463</v>
      </c>
      <c r="H99" s="3">
        <f t="shared" si="9"/>
        <v>113040.57905109423</v>
      </c>
      <c r="I99">
        <f t="shared" si="10"/>
        <v>2.9240385118540591</v>
      </c>
    </row>
    <row r="100" spans="1:9" x14ac:dyDescent="0.3">
      <c r="A100" s="1">
        <v>97</v>
      </c>
      <c r="B100" s="2">
        <v>0.26830449000000001</v>
      </c>
      <c r="C100" s="3">
        <f t="shared" si="11"/>
        <v>96850.495027277953</v>
      </c>
      <c r="D100" s="3">
        <f t="shared" si="6"/>
        <v>70865.072352736606</v>
      </c>
      <c r="E100" s="3">
        <f t="shared" si="7"/>
        <v>25985.422674541347</v>
      </c>
      <c r="F100">
        <f t="shared" si="8"/>
        <v>0.73169550999999999</v>
      </c>
      <c r="G100" s="3">
        <f>SUM(H100:H$112)</f>
        <v>264834.85669238045</v>
      </c>
      <c r="H100" s="3">
        <f t="shared" si="9"/>
        <v>83857.783690007287</v>
      </c>
      <c r="I100">
        <f t="shared" si="10"/>
        <v>2.7344708627228975</v>
      </c>
    </row>
    <row r="101" spans="1:9" x14ac:dyDescent="0.3">
      <c r="A101" s="1">
        <v>98</v>
      </c>
      <c r="B101" s="2">
        <v>0.28712620999999999</v>
      </c>
      <c r="C101" s="3">
        <f t="shared" si="11"/>
        <v>70865.072352736606</v>
      </c>
      <c r="D101" s="3">
        <f t="shared" si="6"/>
        <v>50517.852706719561</v>
      </c>
      <c r="E101" s="3">
        <f t="shared" si="7"/>
        <v>20347.219646017045</v>
      </c>
      <c r="F101">
        <f t="shared" si="8"/>
        <v>0.71287378999999995</v>
      </c>
      <c r="G101" s="3">
        <f>SUM(H101:H$112)</f>
        <v>180977.07300237322</v>
      </c>
      <c r="H101" s="3">
        <f t="shared" si="9"/>
        <v>60691.462529728087</v>
      </c>
      <c r="I101">
        <f t="shared" si="10"/>
        <v>2.5538261232775614</v>
      </c>
    </row>
    <row r="102" spans="1:9" x14ac:dyDescent="0.3">
      <c r="A102" s="1">
        <v>99</v>
      </c>
      <c r="B102" s="2">
        <v>0.30704705999999998</v>
      </c>
      <c r="C102" s="3">
        <f t="shared" si="11"/>
        <v>50517.852706719561</v>
      </c>
      <c r="D102" s="3">
        <f t="shared" si="6"/>
        <v>35006.494555608282</v>
      </c>
      <c r="E102" s="3">
        <f t="shared" si="7"/>
        <v>15511.358151111279</v>
      </c>
      <c r="F102">
        <f t="shared" si="8"/>
        <v>0.69295294000000007</v>
      </c>
      <c r="G102" s="3">
        <f>SUM(H102:H$112)</f>
        <v>120285.61047264513</v>
      </c>
      <c r="H102" s="3">
        <f t="shared" si="9"/>
        <v>42762.173631163925</v>
      </c>
      <c r="I102">
        <f t="shared" si="10"/>
        <v>2.3810515298613537</v>
      </c>
    </row>
    <row r="103" spans="1:9" x14ac:dyDescent="0.3">
      <c r="A103" s="1">
        <v>100</v>
      </c>
      <c r="B103" s="2">
        <v>0.33204660000000003</v>
      </c>
      <c r="C103" s="3">
        <f t="shared" si="11"/>
        <v>35006.494555608282</v>
      </c>
      <c r="D103" s="3">
        <f t="shared" si="6"/>
        <v>23382.707060500041</v>
      </c>
      <c r="E103" s="3">
        <f t="shared" si="7"/>
        <v>11623.787495108241</v>
      </c>
      <c r="F103">
        <f t="shared" si="8"/>
        <v>0.66795340000000003</v>
      </c>
      <c r="G103" s="3">
        <f>SUM(H103:H$112)</f>
        <v>77523.436841481205</v>
      </c>
      <c r="H103" s="3">
        <f t="shared" si="9"/>
        <v>29194.600808054161</v>
      </c>
      <c r="I103">
        <f t="shared" si="10"/>
        <v>2.2145444102760474</v>
      </c>
    </row>
    <row r="104" spans="1:9" x14ac:dyDescent="0.3">
      <c r="A104" s="1">
        <v>101</v>
      </c>
      <c r="B104" s="2">
        <v>0.35446258000000003</v>
      </c>
      <c r="C104" s="3">
        <f t="shared" si="11"/>
        <v>23382.707060500041</v>
      </c>
      <c r="D104" s="3">
        <f t="shared" si="6"/>
        <v>15094.412388450979</v>
      </c>
      <c r="E104" s="3">
        <f t="shared" si="7"/>
        <v>8288.2946720490618</v>
      </c>
      <c r="F104">
        <f t="shared" si="8"/>
        <v>0.64553741999999992</v>
      </c>
      <c r="G104" s="3">
        <f>SUM(H104:H$112)</f>
        <v>48328.836033427026</v>
      </c>
      <c r="H104" s="3">
        <f t="shared" si="9"/>
        <v>19238.559724475512</v>
      </c>
      <c r="I104">
        <f t="shared" si="10"/>
        <v>2.0668623144609293</v>
      </c>
    </row>
    <row r="105" spans="1:9" x14ac:dyDescent="0.3">
      <c r="A105" s="1">
        <v>102</v>
      </c>
      <c r="B105" s="2">
        <v>0.37799926</v>
      </c>
      <c r="C105" s="3">
        <f t="shared" si="11"/>
        <v>15094.412388450979</v>
      </c>
      <c r="D105" s="3">
        <f t="shared" si="6"/>
        <v>9388.7356754816774</v>
      </c>
      <c r="E105" s="3">
        <f t="shared" si="7"/>
        <v>5705.6767129693017</v>
      </c>
      <c r="F105">
        <f t="shared" si="8"/>
        <v>0.62200074000000005</v>
      </c>
      <c r="G105" s="3">
        <f>SUM(H105:H$112)</f>
        <v>29090.276308951517</v>
      </c>
      <c r="H105" s="3">
        <f t="shared" si="9"/>
        <v>12241.574031966327</v>
      </c>
      <c r="I105">
        <f t="shared" si="10"/>
        <v>1.927221514844065</v>
      </c>
    </row>
    <row r="106" spans="1:9" x14ac:dyDescent="0.3">
      <c r="A106" s="1">
        <v>103</v>
      </c>
      <c r="B106" s="2">
        <v>0.40263525</v>
      </c>
      <c r="C106" s="3">
        <f t="shared" si="11"/>
        <v>9388.7356754816774</v>
      </c>
      <c r="D106" s="3">
        <f t="shared" si="6"/>
        <v>5608.4997396001936</v>
      </c>
      <c r="E106" s="3">
        <f t="shared" si="7"/>
        <v>3780.2359358814838</v>
      </c>
      <c r="F106">
        <f t="shared" si="8"/>
        <v>0.59736475</v>
      </c>
      <c r="G106" s="3">
        <f>SUM(H106:H$112)</f>
        <v>16848.702276985186</v>
      </c>
      <c r="H106" s="3">
        <f t="shared" si="9"/>
        <v>7498.617707540936</v>
      </c>
      <c r="I106">
        <f t="shared" si="10"/>
        <v>1.7945656219702644</v>
      </c>
    </row>
    <row r="107" spans="1:9" x14ac:dyDescent="0.3">
      <c r="A107" s="1">
        <v>104</v>
      </c>
      <c r="B107" s="2">
        <v>0.42833401999999998</v>
      </c>
      <c r="C107" s="3">
        <f t="shared" si="11"/>
        <v>5608.4997396001936</v>
      </c>
      <c r="D107" s="3">
        <f t="shared" si="6"/>
        <v>3206.1884999682898</v>
      </c>
      <c r="E107" s="3">
        <f t="shared" si="7"/>
        <v>2402.3112396319038</v>
      </c>
      <c r="F107">
        <f t="shared" si="8"/>
        <v>0.57166598000000002</v>
      </c>
      <c r="G107" s="3">
        <f>SUM(H107:H$112)</f>
        <v>9350.0845694442505</v>
      </c>
      <c r="H107" s="3">
        <f t="shared" si="9"/>
        <v>4407.3441197842421</v>
      </c>
      <c r="I107">
        <f t="shared" si="10"/>
        <v>1.66712757485316</v>
      </c>
    </row>
    <row r="108" spans="1:9" x14ac:dyDescent="0.3">
      <c r="A108" s="1">
        <v>105</v>
      </c>
      <c r="B108" s="2">
        <v>0.45504204999999998</v>
      </c>
      <c r="C108" s="3">
        <f t="shared" si="11"/>
        <v>3206.1884999682898</v>
      </c>
      <c r="D108" s="3">
        <f t="shared" si="6"/>
        <v>1747.2379122562943</v>
      </c>
      <c r="E108" s="3">
        <f t="shared" si="7"/>
        <v>1458.9505877119955</v>
      </c>
      <c r="F108">
        <f t="shared" si="8"/>
        <v>0.54495795000000002</v>
      </c>
      <c r="G108" s="3">
        <f>SUM(H108:H$112)</f>
        <v>4942.7404496600093</v>
      </c>
      <c r="H108" s="3">
        <f t="shared" si="9"/>
        <v>2476.713206112292</v>
      </c>
      <c r="I108">
        <f t="shared" si="10"/>
        <v>1.5416250322490068</v>
      </c>
    </row>
    <row r="109" spans="1:9" x14ac:dyDescent="0.3">
      <c r="A109" s="1">
        <v>106</v>
      </c>
      <c r="B109" s="2">
        <v>0.48268701000000003</v>
      </c>
      <c r="C109" s="3">
        <f t="shared" si="11"/>
        <v>1747.2379122562943</v>
      </c>
      <c r="D109" s="3">
        <f t="shared" si="6"/>
        <v>903.86886863066115</v>
      </c>
      <c r="E109" s="3">
        <f t="shared" si="7"/>
        <v>843.36904362563314</v>
      </c>
      <c r="F109">
        <f t="shared" si="8"/>
        <v>0.51731298999999997</v>
      </c>
      <c r="G109" s="3">
        <f>SUM(H109:H$112)</f>
        <v>2466.0272435477177</v>
      </c>
      <c r="H109" s="3">
        <f t="shared" si="9"/>
        <v>1325.5533904434778</v>
      </c>
      <c r="I109">
        <f t="shared" si="10"/>
        <v>1.411386066115756</v>
      </c>
    </row>
    <row r="110" spans="1:9" x14ac:dyDescent="0.3">
      <c r="A110" s="1">
        <v>107</v>
      </c>
      <c r="B110" s="2">
        <v>0.51117625</v>
      </c>
      <c r="C110" s="3">
        <f t="shared" si="11"/>
        <v>903.86886863066115</v>
      </c>
      <c r="D110" s="3">
        <f t="shared" si="6"/>
        <v>441.83256987229714</v>
      </c>
      <c r="E110" s="3">
        <f t="shared" si="7"/>
        <v>462.03629875836401</v>
      </c>
      <c r="F110">
        <f t="shared" si="8"/>
        <v>0.48882375</v>
      </c>
      <c r="G110" s="3">
        <f>SUM(H110:H$112)</f>
        <v>1140.4738531042399</v>
      </c>
      <c r="H110" s="3">
        <f t="shared" si="9"/>
        <v>672.85071925147918</v>
      </c>
      <c r="I110">
        <f t="shared" si="10"/>
        <v>1.2617691489165119</v>
      </c>
    </row>
    <row r="111" spans="1:9" x14ac:dyDescent="0.3">
      <c r="A111" s="1">
        <v>108</v>
      </c>
      <c r="B111" s="2">
        <v>0.54039543999999995</v>
      </c>
      <c r="C111" s="3">
        <f t="shared" si="11"/>
        <v>441.83256987229714</v>
      </c>
      <c r="D111" s="3">
        <f t="shared" si="6"/>
        <v>203.06826386982641</v>
      </c>
      <c r="E111" s="3">
        <f t="shared" si="7"/>
        <v>238.76430600247073</v>
      </c>
      <c r="F111">
        <f t="shared" si="8"/>
        <v>0.45960456000000005</v>
      </c>
      <c r="G111" s="3">
        <f>SUM(H111:H$112)</f>
        <v>467.62313385276082</v>
      </c>
      <c r="H111" s="3">
        <f t="shared" si="9"/>
        <v>322.45041687106175</v>
      </c>
      <c r="I111">
        <f t="shared" si="10"/>
        <v>1.0583718035723757</v>
      </c>
    </row>
    <row r="112" spans="1:9" x14ac:dyDescent="0.3">
      <c r="A112" s="1">
        <v>109</v>
      </c>
      <c r="B112" s="2">
        <v>0.57020773000000002</v>
      </c>
      <c r="C112" s="3">
        <f t="shared" si="11"/>
        <v>203.06826386982641</v>
      </c>
      <c r="D112" s="3">
        <f t="shared" si="6"/>
        <v>87.277170093571669</v>
      </c>
      <c r="E112" s="3">
        <f t="shared" si="7"/>
        <v>115.79109377625474</v>
      </c>
      <c r="F112">
        <f t="shared" si="8"/>
        <v>0.42979226999999998</v>
      </c>
      <c r="G112" s="3">
        <f>SUM(H112:H$112)</f>
        <v>145.17271698169904</v>
      </c>
      <c r="H112" s="3">
        <f t="shared" si="9"/>
        <v>145.17271698169904</v>
      </c>
      <c r="I112">
        <f t="shared" si="10"/>
        <v>0.71489613499999993</v>
      </c>
    </row>
    <row r="113" spans="1:9" x14ac:dyDescent="0.3">
      <c r="A113" s="1">
        <v>110</v>
      </c>
      <c r="B113">
        <v>1</v>
      </c>
      <c r="C113" s="3">
        <f t="shared" si="11"/>
        <v>87.277170093571669</v>
      </c>
      <c r="D113" s="3">
        <f t="shared" si="6"/>
        <v>0</v>
      </c>
      <c r="E113" s="3">
        <f t="shared" si="7"/>
        <v>87.277170093571669</v>
      </c>
      <c r="F113">
        <f t="shared" si="8"/>
        <v>0</v>
      </c>
      <c r="G113" s="3">
        <v>0</v>
      </c>
      <c r="H113" s="3">
        <v>0</v>
      </c>
      <c r="I113">
        <f t="shared" si="1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841-F5E8-492F-8A11-DB685F99607A}">
  <dimension ref="A1:P113"/>
  <sheetViews>
    <sheetView topLeftCell="A4" workbookViewId="0">
      <selection activeCell="P19" sqref="P19"/>
    </sheetView>
  </sheetViews>
  <sheetFormatPr baseColWidth="10" defaultRowHeight="14.4" x14ac:dyDescent="0.3"/>
  <cols>
    <col min="1" max="1" width="6.109375" customWidth="1"/>
    <col min="4" max="4" width="9.21875" customWidth="1"/>
    <col min="8" max="8" width="12.33203125" bestFit="1" customWidth="1"/>
    <col min="14" max="14" width="13.33203125" bestFit="1" customWidth="1"/>
    <col min="15" max="15" width="12.33203125" bestFit="1" customWidth="1"/>
  </cols>
  <sheetData>
    <row r="1" spans="1:16" x14ac:dyDescent="0.3">
      <c r="A1" t="s">
        <v>2</v>
      </c>
      <c r="C1" t="s">
        <v>19</v>
      </c>
      <c r="F1" t="s">
        <v>12</v>
      </c>
      <c r="G1" s="5">
        <v>0.05</v>
      </c>
    </row>
    <row r="2" spans="1:16" x14ac:dyDescent="0.3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6" x14ac:dyDescent="0.3">
      <c r="A3">
        <v>0</v>
      </c>
      <c r="B3">
        <v>1.0804289999999999E-2</v>
      </c>
      <c r="C3" s="4">
        <v>10000000</v>
      </c>
      <c r="D3" s="4">
        <f>C3-C4</f>
        <v>108042.90000000037</v>
      </c>
      <c r="E3">
        <f>(1/(1+$G$1))^A3</f>
        <v>1</v>
      </c>
      <c r="F3" s="3">
        <f>C3*E3</f>
        <v>10000000</v>
      </c>
      <c r="G3" s="3">
        <f>SUM(F3:F113)</f>
        <v>177908963.48965967</v>
      </c>
      <c r="H3" s="3">
        <f>SUM(G3:G113)</f>
        <v>2917168909.8282785</v>
      </c>
      <c r="I3">
        <f>D3*E4</f>
        <v>102898.00000000035</v>
      </c>
      <c r="J3">
        <f>SUM(I3:I113)</f>
        <v>1528144.2076797951</v>
      </c>
      <c r="K3">
        <f>SUM(J3:J113)</f>
        <v>38996115.186114915</v>
      </c>
    </row>
    <row r="4" spans="1:16" x14ac:dyDescent="0.3">
      <c r="A4">
        <v>1</v>
      </c>
      <c r="B4">
        <v>4.4019899999999997E-3</v>
      </c>
      <c r="C4" s="3">
        <f>C3*(1-B3)</f>
        <v>9891957.0999999996</v>
      </c>
      <c r="D4" s="4">
        <f t="shared" ref="D4:D67" si="0">C4-C5</f>
        <v>43544.296234628186</v>
      </c>
      <c r="E4">
        <f t="shared" ref="E4:E67" si="1">(1/(1+$G$1))^A4</f>
        <v>0.95238095238095233</v>
      </c>
      <c r="F4" s="3">
        <f t="shared" ref="F4:F67" si="2">C4*E4</f>
        <v>9420911.5238095224</v>
      </c>
      <c r="G4" s="3">
        <f t="shared" ref="G4:H67" si="3">SUM(F4:F114)</f>
        <v>167908963.48965967</v>
      </c>
      <c r="H4" s="3">
        <f t="shared" si="3"/>
        <v>2739259946.3386192</v>
      </c>
      <c r="I4">
        <f t="shared" ref="I4:I67" si="4">D4*E5</f>
        <v>39495.960303517626</v>
      </c>
      <c r="J4">
        <f t="shared" ref="J4:K67" si="5">SUM(I4:I114)</f>
        <v>1425246.2076797946</v>
      </c>
      <c r="K4">
        <f t="shared" si="5"/>
        <v>37467970.978435121</v>
      </c>
    </row>
    <row r="5" spans="1:16" x14ac:dyDescent="0.3">
      <c r="A5">
        <v>2</v>
      </c>
      <c r="B5">
        <v>4.5476700000000002E-3</v>
      </c>
      <c r="C5" s="3">
        <f t="shared" ref="C5:C68" si="6">C4*(1-B4)</f>
        <v>9848412.8037653714</v>
      </c>
      <c r="D5" s="4">
        <f t="shared" si="0"/>
        <v>44787.331455299631</v>
      </c>
      <c r="E5">
        <f t="shared" si="1"/>
        <v>0.90702947845804982</v>
      </c>
      <c r="F5" s="3">
        <f t="shared" si="2"/>
        <v>8932800.7290388849</v>
      </c>
      <c r="G5" s="3">
        <f t="shared" si="3"/>
        <v>158488051.96585011</v>
      </c>
      <c r="H5" s="3">
        <f t="shared" si="3"/>
        <v>2571350982.8489599</v>
      </c>
      <c r="I5">
        <f t="shared" si="4"/>
        <v>38688.98084897927</v>
      </c>
      <c r="J5">
        <f t="shared" si="5"/>
        <v>1385750.2473762771</v>
      </c>
      <c r="K5">
        <f t="shared" si="5"/>
        <v>36042724.770755343</v>
      </c>
      <c r="M5" t="s">
        <v>20</v>
      </c>
    </row>
    <row r="6" spans="1:16" x14ac:dyDescent="0.3">
      <c r="A6">
        <v>3</v>
      </c>
      <c r="B6">
        <v>4.7105899999999997E-3</v>
      </c>
      <c r="C6" s="3">
        <f t="shared" si="6"/>
        <v>9803625.4723100718</v>
      </c>
      <c r="D6" s="4">
        <f t="shared" si="0"/>
        <v>46180.860113609582</v>
      </c>
      <c r="E6">
        <f t="shared" si="1"/>
        <v>0.86383759853147601</v>
      </c>
      <c r="F6" s="3">
        <f t="shared" si="2"/>
        <v>8468740.2849023398</v>
      </c>
      <c r="G6" s="3">
        <f t="shared" si="3"/>
        <v>149555251.23681128</v>
      </c>
      <c r="H6" s="3">
        <f t="shared" si="3"/>
        <v>2412862930.88311</v>
      </c>
      <c r="I6">
        <f t="shared" si="4"/>
        <v>37993.107903484306</v>
      </c>
      <c r="J6">
        <f t="shared" si="5"/>
        <v>1347061.2665272979</v>
      </c>
      <c r="K6">
        <f t="shared" si="5"/>
        <v>34656974.523379073</v>
      </c>
      <c r="M6" s="6" t="s">
        <v>21</v>
      </c>
      <c r="N6" s="7">
        <f>G1</f>
        <v>0.05</v>
      </c>
      <c r="O6" t="s">
        <v>22</v>
      </c>
    </row>
    <row r="7" spans="1:16" x14ac:dyDescent="0.3">
      <c r="A7">
        <v>4</v>
      </c>
      <c r="B7">
        <v>4.8416199999999996E-3</v>
      </c>
      <c r="C7" s="3">
        <f t="shared" si="6"/>
        <v>9757444.6121964622</v>
      </c>
      <c r="D7" s="4">
        <f t="shared" si="0"/>
        <v>47241.838983302936</v>
      </c>
      <c r="E7">
        <f t="shared" si="1"/>
        <v>0.82270247479188185</v>
      </c>
      <c r="F7" s="3">
        <f t="shared" si="2"/>
        <v>8027473.8300987436</v>
      </c>
      <c r="G7" s="3">
        <f t="shared" si="3"/>
        <v>141086510.95190895</v>
      </c>
      <c r="H7" s="3">
        <f t="shared" si="3"/>
        <v>2263307679.6462979</v>
      </c>
      <c r="I7">
        <f t="shared" si="4"/>
        <v>37015.216995507544</v>
      </c>
      <c r="J7">
        <f t="shared" si="5"/>
        <v>1309068.1586238134</v>
      </c>
      <c r="K7">
        <f t="shared" si="5"/>
        <v>33309913.256851755</v>
      </c>
      <c r="M7" t="s">
        <v>0</v>
      </c>
      <c r="N7" s="1" t="s">
        <v>23</v>
      </c>
      <c r="O7" s="1" t="s">
        <v>24</v>
      </c>
    </row>
    <row r="8" spans="1:16" x14ac:dyDescent="0.3">
      <c r="A8">
        <v>5</v>
      </c>
      <c r="B8">
        <v>5.0476499999999999E-3</v>
      </c>
      <c r="C8" s="3">
        <f t="shared" si="6"/>
        <v>9710202.7732131593</v>
      </c>
      <c r="D8" s="4">
        <f t="shared" si="0"/>
        <v>49013.705028209835</v>
      </c>
      <c r="E8">
        <f t="shared" si="1"/>
        <v>0.78352616646845885</v>
      </c>
      <c r="F8" s="3">
        <f t="shared" si="2"/>
        <v>7608197.9545271043</v>
      </c>
      <c r="G8" s="3">
        <f t="shared" si="3"/>
        <v>133059037.12181026</v>
      </c>
      <c r="H8" s="3">
        <f t="shared" si="3"/>
        <v>2122221168.694391</v>
      </c>
      <c r="I8">
        <f t="shared" si="4"/>
        <v>36574.781338256267</v>
      </c>
      <c r="J8">
        <f t="shared" si="5"/>
        <v>1272052.9416283057</v>
      </c>
      <c r="K8">
        <f t="shared" si="5"/>
        <v>32000845.098227948</v>
      </c>
      <c r="M8">
        <v>38</v>
      </c>
      <c r="N8" s="8">
        <f>VLOOKUP(M8,$A$2:$K$102,6)</f>
        <v>1111488.3801634135</v>
      </c>
      <c r="O8" s="9">
        <f>$N$11/N8</f>
        <v>8.3736897649772463E-2</v>
      </c>
    </row>
    <row r="9" spans="1:16" x14ac:dyDescent="0.3">
      <c r="A9">
        <v>6</v>
      </c>
      <c r="B9">
        <v>5.2420699999999997E-3</v>
      </c>
      <c r="C9" s="3">
        <f t="shared" si="6"/>
        <v>9661189.0681849495</v>
      </c>
      <c r="D9" s="4">
        <f t="shared" si="0"/>
        <v>50644.629378659651</v>
      </c>
      <c r="E9">
        <f t="shared" si="1"/>
        <v>0.7462153966366275</v>
      </c>
      <c r="F9" s="3">
        <f t="shared" si="2"/>
        <v>7209328.0324970819</v>
      </c>
      <c r="G9" s="3">
        <f t="shared" si="3"/>
        <v>125450839.16728315</v>
      </c>
      <c r="H9" s="3">
        <f t="shared" si="3"/>
        <v>1989162131.5725811</v>
      </c>
      <c r="I9">
        <f t="shared" si="4"/>
        <v>35992.192570772859</v>
      </c>
      <c r="J9">
        <f t="shared" si="5"/>
        <v>1235478.1602900496</v>
      </c>
      <c r="K9">
        <f t="shared" si="5"/>
        <v>30728792.156599637</v>
      </c>
      <c r="M9">
        <v>54</v>
      </c>
      <c r="N9" s="8">
        <f>VLOOKUP(M9,$A$2:$K$102,6)</f>
        <v>369016.22042272013</v>
      </c>
      <c r="O9" s="9">
        <f>$N$11/N9</f>
        <v>0.25221815079574944</v>
      </c>
    </row>
    <row r="10" spans="1:16" x14ac:dyDescent="0.3">
      <c r="A10">
        <v>7</v>
      </c>
      <c r="B10">
        <v>5.4383599999999997E-3</v>
      </c>
      <c r="C10" s="3">
        <f t="shared" si="6"/>
        <v>9610544.4388062898</v>
      </c>
      <c r="D10" s="4">
        <f t="shared" si="0"/>
        <v>52265.600454226136</v>
      </c>
      <c r="E10">
        <f t="shared" si="1"/>
        <v>0.71068133013012136</v>
      </c>
      <c r="F10" s="3">
        <f t="shared" si="2"/>
        <v>6830034.505045495</v>
      </c>
      <c r="G10" s="3">
        <f t="shared" si="3"/>
        <v>118241511.13478608</v>
      </c>
      <c r="H10" s="3">
        <f t="shared" si="3"/>
        <v>1863711292.4052978</v>
      </c>
      <c r="I10">
        <f t="shared" si="4"/>
        <v>35375.415667484674</v>
      </c>
      <c r="J10">
        <f t="shared" si="5"/>
        <v>1199485.9677192769</v>
      </c>
      <c r="K10">
        <f t="shared" si="5"/>
        <v>29493313.99630959</v>
      </c>
      <c r="M10">
        <v>62</v>
      </c>
      <c r="N10" s="8">
        <f>VLOOKUP(M10,$A$2:$K$102,6)</f>
        <v>191289.8877926736</v>
      </c>
      <c r="O10" s="9">
        <f>$N$11/N10</f>
        <v>0.48655258154330844</v>
      </c>
    </row>
    <row r="11" spans="1:16" x14ac:dyDescent="0.3">
      <c r="A11">
        <v>8</v>
      </c>
      <c r="B11">
        <v>5.6328200000000002E-3</v>
      </c>
      <c r="C11" s="3">
        <f t="shared" si="6"/>
        <v>9558278.8383520637</v>
      </c>
      <c r="D11" s="4">
        <f t="shared" si="0"/>
        <v>53840.064206246287</v>
      </c>
      <c r="E11">
        <f t="shared" si="1"/>
        <v>0.676839362028687</v>
      </c>
      <c r="F11" s="3">
        <f t="shared" si="2"/>
        <v>6469419.35104251</v>
      </c>
      <c r="G11" s="3">
        <f t="shared" si="3"/>
        <v>111411476.62974057</v>
      </c>
      <c r="H11" s="3">
        <f t="shared" si="3"/>
        <v>1745469781.2705119</v>
      </c>
      <c r="I11">
        <f t="shared" si="4"/>
        <v>34705.785437085033</v>
      </c>
      <c r="J11">
        <f t="shared" si="5"/>
        <v>1164110.5520517922</v>
      </c>
      <c r="K11">
        <f t="shared" si="5"/>
        <v>28293828.028590314</v>
      </c>
      <c r="M11">
        <v>70</v>
      </c>
      <c r="N11" s="8">
        <f>VLOOKUP(M11,$A$2:$K$102,6)</f>
        <v>93072.588728655144</v>
      </c>
      <c r="O11" s="9">
        <f>$N$11/N11</f>
        <v>1</v>
      </c>
    </row>
    <row r="12" spans="1:16" x14ac:dyDescent="0.3">
      <c r="A12">
        <v>9</v>
      </c>
      <c r="B12">
        <v>5.8262000000000001E-3</v>
      </c>
      <c r="C12" s="3">
        <f t="shared" si="6"/>
        <v>9504438.7741458174</v>
      </c>
      <c r="D12" s="4">
        <f t="shared" si="0"/>
        <v>55374.761185929179</v>
      </c>
      <c r="E12">
        <f t="shared" si="1"/>
        <v>0.64460891621779715</v>
      </c>
      <c r="F12" s="3">
        <f t="shared" si="2"/>
        <v>6126645.9774605436</v>
      </c>
      <c r="G12" s="3">
        <f t="shared" si="3"/>
        <v>104942057.27869806</v>
      </c>
      <c r="H12" s="3">
        <f t="shared" si="3"/>
        <v>1634058304.6407712</v>
      </c>
      <c r="I12">
        <f t="shared" si="4"/>
        <v>33995.299803696325</v>
      </c>
      <c r="J12">
        <f t="shared" si="5"/>
        <v>1129404.7666147074</v>
      </c>
      <c r="K12">
        <f t="shared" si="5"/>
        <v>27129717.476538528</v>
      </c>
    </row>
    <row r="13" spans="1:16" x14ac:dyDescent="0.3">
      <c r="A13">
        <v>10</v>
      </c>
      <c r="B13">
        <v>6.1302700000000002E-3</v>
      </c>
      <c r="C13" s="3">
        <f t="shared" si="6"/>
        <v>9449064.0129598882</v>
      </c>
      <c r="D13" s="4">
        <f t="shared" si="0"/>
        <v>57925.313646728173</v>
      </c>
      <c r="E13">
        <f t="shared" si="1"/>
        <v>0.6139132535407591</v>
      </c>
      <c r="F13" s="3">
        <f t="shared" si="2"/>
        <v>5800905.6311111068</v>
      </c>
      <c r="G13" s="3">
        <f t="shared" si="3"/>
        <v>98815411.301237524</v>
      </c>
      <c r="H13" s="3">
        <f t="shared" si="3"/>
        <v>1529116247.3620729</v>
      </c>
      <c r="I13">
        <f t="shared" si="4"/>
        <v>33867.731203077936</v>
      </c>
      <c r="J13">
        <f t="shared" si="5"/>
        <v>1095409.4668110111</v>
      </c>
      <c r="K13">
        <f t="shared" si="5"/>
        <v>26000312.709923819</v>
      </c>
    </row>
    <row r="14" spans="1:16" x14ac:dyDescent="0.3">
      <c r="A14">
        <v>11</v>
      </c>
      <c r="B14">
        <v>6.3458400000000002E-3</v>
      </c>
      <c r="C14" s="3">
        <f t="shared" si="6"/>
        <v>9391138.69931316</v>
      </c>
      <c r="D14" s="4">
        <f t="shared" si="0"/>
        <v>59594.663603650406</v>
      </c>
      <c r="E14">
        <f t="shared" si="1"/>
        <v>0.58467928908643729</v>
      </c>
      <c r="F14" s="3">
        <f t="shared" si="2"/>
        <v>5490804.298426548</v>
      </c>
      <c r="G14" s="3">
        <f t="shared" si="3"/>
        <v>93014505.670126423</v>
      </c>
      <c r="H14" s="3">
        <f t="shared" si="3"/>
        <v>1430300836.0608358</v>
      </c>
      <c r="I14">
        <f t="shared" si="4"/>
        <v>33184.538618216851</v>
      </c>
      <c r="J14">
        <f t="shared" si="5"/>
        <v>1061541.735607933</v>
      </c>
      <c r="K14">
        <f t="shared" si="5"/>
        <v>24904903.243112806</v>
      </c>
      <c r="M14" t="s">
        <v>25</v>
      </c>
    </row>
    <row r="15" spans="1:16" x14ac:dyDescent="0.3">
      <c r="A15">
        <v>12</v>
      </c>
      <c r="B15">
        <v>6.5873299999999997E-3</v>
      </c>
      <c r="C15" s="3">
        <f t="shared" si="6"/>
        <v>9331544.0357095096</v>
      </c>
      <c r="D15" s="4">
        <f t="shared" si="0"/>
        <v>61469.959972750396</v>
      </c>
      <c r="E15">
        <f t="shared" si="1"/>
        <v>0.55683741817755927</v>
      </c>
      <c r="F15" s="3">
        <f t="shared" si="2"/>
        <v>5196152.888454685</v>
      </c>
      <c r="G15" s="3">
        <f t="shared" si="3"/>
        <v>87523701.371699855</v>
      </c>
      <c r="H15" s="3">
        <f t="shared" si="3"/>
        <v>1337286330.3907092</v>
      </c>
      <c r="I15">
        <f t="shared" si="4"/>
        <v>32598.832196861182</v>
      </c>
      <c r="J15">
        <f t="shared" si="5"/>
        <v>1028357.1969897157</v>
      </c>
      <c r="K15">
        <f t="shared" si="5"/>
        <v>23843361.507504873</v>
      </c>
      <c r="M15" s="6" t="s">
        <v>21</v>
      </c>
      <c r="N15" s="7">
        <f>G1</f>
        <v>0.05</v>
      </c>
      <c r="O15" t="s">
        <v>26</v>
      </c>
    </row>
    <row r="16" spans="1:16" x14ac:dyDescent="0.3">
      <c r="A16">
        <v>13</v>
      </c>
      <c r="B16">
        <v>6.86127E-3</v>
      </c>
      <c r="C16" s="3">
        <f t="shared" si="6"/>
        <v>9270074.0757367592</v>
      </c>
      <c r="D16" s="4">
        <f t="shared" si="0"/>
        <v>63604.48115362972</v>
      </c>
      <c r="E16">
        <f t="shared" si="1"/>
        <v>0.53032135064529451</v>
      </c>
      <c r="F16" s="3">
        <f t="shared" si="2"/>
        <v>4916118.2044266481</v>
      </c>
      <c r="G16" s="3">
        <f t="shared" si="3"/>
        <v>82327548.483245164</v>
      </c>
      <c r="H16" s="3">
        <f t="shared" si="3"/>
        <v>1249762629.0190096</v>
      </c>
      <c r="I16">
        <f t="shared" si="4"/>
        <v>32124.585097605799</v>
      </c>
      <c r="J16">
        <f t="shared" si="5"/>
        <v>995758.36479285441</v>
      </c>
      <c r="K16">
        <f t="shared" si="5"/>
        <v>22815004.310515162</v>
      </c>
      <c r="M16" t="s">
        <v>0</v>
      </c>
      <c r="N16" s="1" t="s">
        <v>23</v>
      </c>
      <c r="O16" s="1" t="s">
        <v>27</v>
      </c>
      <c r="P16" s="1" t="s">
        <v>28</v>
      </c>
    </row>
    <row r="17" spans="1:16" x14ac:dyDescent="0.3">
      <c r="A17">
        <v>14</v>
      </c>
      <c r="B17">
        <v>7.15908E-3</v>
      </c>
      <c r="C17" s="3">
        <f t="shared" si="6"/>
        <v>9206469.5945831295</v>
      </c>
      <c r="D17" s="4">
        <f t="shared" si="0"/>
        <v>65909.852345187217</v>
      </c>
      <c r="E17">
        <f t="shared" si="1"/>
        <v>0.50506795299551854</v>
      </c>
      <c r="F17" s="3">
        <f t="shared" si="2"/>
        <v>4649892.7524515828</v>
      </c>
      <c r="G17" s="3">
        <f t="shared" si="3"/>
        <v>77411430.278818518</v>
      </c>
      <c r="H17" s="3">
        <f t="shared" si="3"/>
        <v>1167435080.5357645</v>
      </c>
      <c r="I17">
        <f t="shared" si="4"/>
        <v>31703.76591068627</v>
      </c>
      <c r="J17">
        <f t="shared" si="5"/>
        <v>963633.77969524858</v>
      </c>
      <c r="K17">
        <f t="shared" si="5"/>
        <v>21819245.945722304</v>
      </c>
      <c r="M17">
        <v>45</v>
      </c>
      <c r="N17" s="8">
        <f>VLOOKUP(M17,$A$2:$K$102,6)</f>
        <v>706627.27469453053</v>
      </c>
      <c r="O17" s="8">
        <f>VLOOKUP(M17+1,$A$2:$K$102,7)</f>
        <v>8409590.9543997087</v>
      </c>
      <c r="P17" s="10">
        <f>O17/N17</f>
        <v>11.90102796136069</v>
      </c>
    </row>
    <row r="18" spans="1:16" x14ac:dyDescent="0.3">
      <c r="A18">
        <v>15</v>
      </c>
      <c r="B18">
        <v>8.1262699999999997E-3</v>
      </c>
      <c r="C18" s="3">
        <f t="shared" si="6"/>
        <v>9140559.7422379423</v>
      </c>
      <c r="D18" s="4">
        <f t="shared" si="0"/>
        <v>74278.656416555867</v>
      </c>
      <c r="E18">
        <f t="shared" si="1"/>
        <v>0.48101709809097004</v>
      </c>
      <c r="F18" s="3">
        <f t="shared" si="2"/>
        <v>4396765.5221384401</v>
      </c>
      <c r="G18" s="3">
        <f t="shared" si="3"/>
        <v>72761537.526366934</v>
      </c>
      <c r="H18" s="3">
        <f t="shared" si="3"/>
        <v>1090023650.2569458</v>
      </c>
      <c r="I18">
        <f t="shared" si="4"/>
        <v>34027.908342464681</v>
      </c>
      <c r="J18">
        <f t="shared" si="5"/>
        <v>931930.01378456235</v>
      </c>
      <c r="K18">
        <f t="shared" si="5"/>
        <v>20855612.166027054</v>
      </c>
      <c r="M18">
        <v>60</v>
      </c>
      <c r="N18" s="8">
        <f>VLOOKUP(M18,$A$2:$K$102,6)</f>
        <v>226977.84991769947</v>
      </c>
      <c r="O18" s="8">
        <f>VLOOKUP(M18+1,$A$2:$K$102,7)</f>
        <v>2174571.3711759769</v>
      </c>
      <c r="P18" s="10">
        <f t="shared" ref="P18:P19" si="7">O18/N18</f>
        <v>9.5805444097935588</v>
      </c>
    </row>
    <row r="19" spans="1:16" x14ac:dyDescent="0.3">
      <c r="A19">
        <v>16</v>
      </c>
      <c r="B19">
        <v>8.4570800000000005E-3</v>
      </c>
      <c r="C19" s="3">
        <f t="shared" si="6"/>
        <v>9066281.0858213864</v>
      </c>
      <c r="D19" s="4">
        <f t="shared" si="0"/>
        <v>76674.264445278794</v>
      </c>
      <c r="E19">
        <f t="shared" si="1"/>
        <v>0.45811152199140004</v>
      </c>
      <c r="F19" s="3">
        <f t="shared" si="2"/>
        <v>4153367.8270274783</v>
      </c>
      <c r="G19" s="3">
        <f t="shared" si="3"/>
        <v>68364772.004228443</v>
      </c>
      <c r="H19" s="3">
        <f t="shared" si="3"/>
        <v>1017262112.730579</v>
      </c>
      <c r="I19">
        <f t="shared" si="4"/>
        <v>33452.727602474057</v>
      </c>
      <c r="J19">
        <f t="shared" si="5"/>
        <v>897902.10544209776</v>
      </c>
      <c r="K19">
        <f t="shared" si="5"/>
        <v>19923682.152242489</v>
      </c>
      <c r="M19">
        <v>90</v>
      </c>
      <c r="N19" s="8">
        <f>VLOOKUP(M19,$A$2:$K$102,6)</f>
        <v>5940.188168947062</v>
      </c>
      <c r="O19" s="8">
        <f>VLOOKUP(M19+1,$A$2:$K$102,7)</f>
        <v>18884.471539391841</v>
      </c>
      <c r="P19" s="10">
        <f t="shared" si="7"/>
        <v>3.17910325435688</v>
      </c>
    </row>
    <row r="20" spans="1:16" x14ac:dyDescent="0.3">
      <c r="A20">
        <v>17</v>
      </c>
      <c r="B20">
        <v>8.7819700000000001E-3</v>
      </c>
      <c r="C20" s="3">
        <f t="shared" si="6"/>
        <v>8989606.8213761076</v>
      </c>
      <c r="D20" s="4">
        <f t="shared" si="0"/>
        <v>78946.457417121157</v>
      </c>
      <c r="E20">
        <f t="shared" si="1"/>
        <v>0.43629668761085716</v>
      </c>
      <c r="F20" s="3">
        <f t="shared" si="2"/>
        <v>3922135.679090362</v>
      </c>
      <c r="G20" s="3">
        <f t="shared" si="3"/>
        <v>64211404.177200943</v>
      </c>
      <c r="H20" s="3">
        <f t="shared" si="3"/>
        <v>948897340.72635067</v>
      </c>
      <c r="I20">
        <f t="shared" si="4"/>
        <v>32803.883685430046</v>
      </c>
      <c r="J20">
        <f t="shared" si="5"/>
        <v>864449.37783962383</v>
      </c>
      <c r="K20">
        <f t="shared" si="5"/>
        <v>19025780.046800386</v>
      </c>
    </row>
    <row r="21" spans="1:16" x14ac:dyDescent="0.3">
      <c r="A21">
        <v>18</v>
      </c>
      <c r="B21">
        <v>9.0945999999999996E-3</v>
      </c>
      <c r="C21" s="3">
        <f t="shared" si="6"/>
        <v>8910660.3639589865</v>
      </c>
      <c r="D21" s="4">
        <f t="shared" si="0"/>
        <v>81038.891746060923</v>
      </c>
      <c r="E21">
        <f t="shared" si="1"/>
        <v>0.41552065486748302</v>
      </c>
      <c r="F21" s="3">
        <f t="shared" si="2"/>
        <v>3702563.4297339628</v>
      </c>
      <c r="G21" s="3">
        <f t="shared" si="3"/>
        <v>60289268.498110585</v>
      </c>
      <c r="H21" s="3">
        <f t="shared" si="3"/>
        <v>884685936.54914963</v>
      </c>
      <c r="I21">
        <f t="shared" si="4"/>
        <v>32069.841302912664</v>
      </c>
      <c r="J21">
        <f t="shared" si="5"/>
        <v>831645.49415419379</v>
      </c>
      <c r="K21">
        <f t="shared" si="5"/>
        <v>18161330.668960765</v>
      </c>
      <c r="M21" t="s">
        <v>29</v>
      </c>
    </row>
    <row r="22" spans="1:16" x14ac:dyDescent="0.3">
      <c r="A22">
        <v>19</v>
      </c>
      <c r="B22">
        <v>9.3962200000000003E-3</v>
      </c>
      <c r="C22" s="3">
        <f t="shared" si="6"/>
        <v>8829621.4722129256</v>
      </c>
      <c r="D22" s="4">
        <f t="shared" si="0"/>
        <v>82965.065869636834</v>
      </c>
      <c r="E22">
        <f t="shared" si="1"/>
        <v>0.39573395701665048</v>
      </c>
      <c r="F22" s="3">
        <f t="shared" si="2"/>
        <v>3494181.0441580042</v>
      </c>
      <c r="G22" s="3">
        <f t="shared" si="3"/>
        <v>56586705.068376623</v>
      </c>
      <c r="H22" s="3">
        <f t="shared" si="3"/>
        <v>824396668.05103886</v>
      </c>
      <c r="I22">
        <f t="shared" si="4"/>
        <v>31268.660772131847</v>
      </c>
      <c r="J22">
        <f t="shared" si="5"/>
        <v>799575.65285128111</v>
      </c>
      <c r="K22">
        <f t="shared" si="5"/>
        <v>17329685.174806572</v>
      </c>
      <c r="M22" s="6" t="s">
        <v>21</v>
      </c>
      <c r="N22" s="7">
        <f>G1</f>
        <v>0.05</v>
      </c>
      <c r="O22" t="s">
        <v>30</v>
      </c>
    </row>
    <row r="23" spans="1:16" x14ac:dyDescent="0.3">
      <c r="A23">
        <v>20</v>
      </c>
      <c r="B23">
        <v>9.5463600000000003E-3</v>
      </c>
      <c r="C23" s="3">
        <f t="shared" si="6"/>
        <v>8746656.4063432887</v>
      </c>
      <c r="D23" s="4">
        <f t="shared" si="0"/>
        <v>83498.730851259083</v>
      </c>
      <c r="E23">
        <f t="shared" si="1"/>
        <v>0.37688948287300045</v>
      </c>
      <c r="F23" s="3">
        <f t="shared" si="2"/>
        <v>3296522.8098545386</v>
      </c>
      <c r="G23" s="3">
        <f t="shared" si="3"/>
        <v>53092524.024218619</v>
      </c>
      <c r="H23" s="3">
        <f t="shared" si="3"/>
        <v>767809962.98266232</v>
      </c>
      <c r="I23">
        <f t="shared" si="4"/>
        <v>29971.231896269408</v>
      </c>
      <c r="J23">
        <f t="shared" si="5"/>
        <v>768306.99207914935</v>
      </c>
      <c r="K23">
        <f t="shared" si="5"/>
        <v>16530109.521955293</v>
      </c>
      <c r="M23" t="s">
        <v>0</v>
      </c>
      <c r="N23" s="1" t="s">
        <v>23</v>
      </c>
      <c r="O23" s="1" t="s">
        <v>31</v>
      </c>
      <c r="P23" s="1"/>
    </row>
    <row r="24" spans="1:16" x14ac:dyDescent="0.3">
      <c r="A24">
        <v>21</v>
      </c>
      <c r="B24">
        <v>9.8431400000000002E-3</v>
      </c>
      <c r="C24" s="3">
        <f t="shared" si="6"/>
        <v>8663157.6754920296</v>
      </c>
      <c r="D24" s="4">
        <f t="shared" si="0"/>
        <v>85272.673841942102</v>
      </c>
      <c r="E24">
        <f t="shared" si="1"/>
        <v>0.35894236464095275</v>
      </c>
      <c r="F24" s="3">
        <f t="shared" si="2"/>
        <v>3109574.3012985289</v>
      </c>
      <c r="G24" s="3">
        <f t="shared" si="3"/>
        <v>49796001.214364089</v>
      </c>
      <c r="H24" s="3">
        <f t="shared" si="3"/>
        <v>714717438.95844376</v>
      </c>
      <c r="I24">
        <f t="shared" si="4"/>
        <v>29150.452560079444</v>
      </c>
      <c r="J24">
        <f t="shared" si="5"/>
        <v>738335.76018287987</v>
      </c>
      <c r="K24">
        <f t="shared" si="5"/>
        <v>15761802.529876143</v>
      </c>
      <c r="M24">
        <v>25</v>
      </c>
      <c r="N24" s="8">
        <f>VLOOKUP(M24,$A$2:$K$102,6)</f>
        <v>2455078.8892452167</v>
      </c>
      <c r="O24" s="11">
        <f>G$78/N24</f>
        <v>0.17630235655211848</v>
      </c>
      <c r="P24" s="11"/>
    </row>
    <row r="25" spans="1:16" x14ac:dyDescent="0.3">
      <c r="A25">
        <v>22</v>
      </c>
      <c r="B25">
        <v>1.01216E-2</v>
      </c>
      <c r="C25" s="3">
        <f t="shared" si="6"/>
        <v>8577885.0016500875</v>
      </c>
      <c r="D25" s="4">
        <f t="shared" si="0"/>
        <v>86821.920832701027</v>
      </c>
      <c r="E25">
        <f t="shared" si="1"/>
        <v>0.34184987108662168</v>
      </c>
      <c r="F25" s="3">
        <f t="shared" si="2"/>
        <v>2932348.8820099481</v>
      </c>
      <c r="G25" s="3">
        <f t="shared" si="3"/>
        <v>46686426.91306556</v>
      </c>
      <c r="H25" s="3">
        <f t="shared" si="3"/>
        <v>664921437.74407959</v>
      </c>
      <c r="I25">
        <f t="shared" si="4"/>
        <v>28266.726137287347</v>
      </c>
      <c r="J25">
        <f t="shared" si="5"/>
        <v>709185.30762280046</v>
      </c>
      <c r="K25">
        <f t="shared" si="5"/>
        <v>15023466.769693263</v>
      </c>
      <c r="M25">
        <v>40</v>
      </c>
      <c r="N25" s="8">
        <f>VLOOKUP(M25,$A$2:$K$102,6)</f>
        <v>979732.56946572685</v>
      </c>
      <c r="O25" s="11">
        <f>G$78/N25</f>
        <v>0.44179014476504114</v>
      </c>
      <c r="P25" s="11"/>
    </row>
    <row r="26" spans="1:16" x14ac:dyDescent="0.3">
      <c r="A26">
        <v>23</v>
      </c>
      <c r="B26">
        <v>1.0376410000000001E-2</v>
      </c>
      <c r="C26" s="3">
        <f t="shared" si="6"/>
        <v>8491063.0808173865</v>
      </c>
      <c r="D26" s="4">
        <f t="shared" si="0"/>
        <v>88106.751862423494</v>
      </c>
      <c r="E26">
        <f t="shared" si="1"/>
        <v>0.32557130579678251</v>
      </c>
      <c r="F26" s="3">
        <f t="shared" si="2"/>
        <v>2764446.4948245673</v>
      </c>
      <c r="G26" s="3">
        <f t="shared" si="3"/>
        <v>43754078.031055607</v>
      </c>
      <c r="H26" s="3">
        <f t="shared" si="3"/>
        <v>618235010.83101404</v>
      </c>
      <c r="I26">
        <f t="shared" si="4"/>
        <v>27319.076431773636</v>
      </c>
      <c r="J26">
        <f t="shared" si="5"/>
        <v>680918.58148551302</v>
      </c>
      <c r="K26">
        <f t="shared" si="5"/>
        <v>14314281.462070461</v>
      </c>
      <c r="M26">
        <v>70</v>
      </c>
      <c r="N26" s="8">
        <f>VLOOKUP(M26,$A$2:$K$102,6)</f>
        <v>93072.588728655144</v>
      </c>
      <c r="O26" s="11">
        <f>G$78/N26</f>
        <v>4.6505227759075725</v>
      </c>
      <c r="P26" s="11"/>
    </row>
    <row r="27" spans="1:16" x14ac:dyDescent="0.3">
      <c r="A27">
        <v>24</v>
      </c>
      <c r="B27">
        <v>1.0613859999999999E-2</v>
      </c>
      <c r="C27" s="3">
        <f t="shared" si="6"/>
        <v>8402956.328954963</v>
      </c>
      <c r="D27" s="4">
        <f t="shared" si="0"/>
        <v>89187.802061641589</v>
      </c>
      <c r="E27">
        <f t="shared" si="1"/>
        <v>0.31006791028265002</v>
      </c>
      <c r="F27" s="3">
        <f t="shared" si="2"/>
        <v>2605487.1091154334</v>
      </c>
      <c r="G27" s="3">
        <f t="shared" si="3"/>
        <v>40989631.536231034</v>
      </c>
      <c r="H27" s="3">
        <f t="shared" si="3"/>
        <v>574480932.79995847</v>
      </c>
      <c r="I27">
        <f t="shared" si="4"/>
        <v>26337.405150434126</v>
      </c>
      <c r="J27">
        <f t="shared" si="5"/>
        <v>653599.50505373953</v>
      </c>
      <c r="K27">
        <f t="shared" si="5"/>
        <v>13633362.880584951</v>
      </c>
      <c r="N27" s="8"/>
      <c r="O27" s="8"/>
      <c r="P27" s="11"/>
    </row>
    <row r="28" spans="1:16" x14ac:dyDescent="0.3">
      <c r="A28">
        <v>25</v>
      </c>
      <c r="B28">
        <v>1.0717610000000001E-2</v>
      </c>
      <c r="C28" s="3">
        <f t="shared" si="6"/>
        <v>8313768.5268933214</v>
      </c>
      <c r="D28" s="4">
        <f t="shared" si="0"/>
        <v>89103.728701517917</v>
      </c>
      <c r="E28">
        <f t="shared" si="1"/>
        <v>0.29530277169776192</v>
      </c>
      <c r="F28" s="3">
        <f t="shared" si="2"/>
        <v>2455078.8892452167</v>
      </c>
      <c r="G28" s="3">
        <f t="shared" si="3"/>
        <v>38384144.427115612</v>
      </c>
      <c r="H28" s="3">
        <f t="shared" si="3"/>
        <v>533491301.26372731</v>
      </c>
      <c r="I28">
        <f t="shared" si="4"/>
        <v>25059.598146822533</v>
      </c>
      <c r="J28">
        <f t="shared" si="5"/>
        <v>627262.09990330541</v>
      </c>
      <c r="K28">
        <f t="shared" si="5"/>
        <v>12979763.375531211</v>
      </c>
      <c r="N28" s="8"/>
      <c r="O28" s="8"/>
      <c r="P28" s="11"/>
    </row>
    <row r="29" spans="1:16" x14ac:dyDescent="0.3">
      <c r="A29">
        <v>26</v>
      </c>
      <c r="B29">
        <v>1.094971E-2</v>
      </c>
      <c r="C29" s="3">
        <f t="shared" si="6"/>
        <v>8224664.7981918035</v>
      </c>
      <c r="D29" s="4">
        <f t="shared" si="0"/>
        <v>90057.694387408905</v>
      </c>
      <c r="E29">
        <f t="shared" si="1"/>
        <v>0.28124073495024943</v>
      </c>
      <c r="F29" s="3">
        <f t="shared" si="2"/>
        <v>2313110.7725629075</v>
      </c>
      <c r="G29" s="3">
        <f t="shared" si="3"/>
        <v>35929065.5378704</v>
      </c>
      <c r="H29" s="3">
        <f t="shared" si="3"/>
        <v>495107156.83661163</v>
      </c>
      <c r="I29">
        <f t="shared" si="4"/>
        <v>24121.8020547046</v>
      </c>
      <c r="J29">
        <f t="shared" si="5"/>
        <v>602202.50175648287</v>
      </c>
      <c r="K29">
        <f t="shared" si="5"/>
        <v>12352501.275627907</v>
      </c>
      <c r="M29" t="s">
        <v>32</v>
      </c>
    </row>
    <row r="30" spans="1:16" x14ac:dyDescent="0.3">
      <c r="A30">
        <v>27</v>
      </c>
      <c r="B30">
        <v>1.118516E-2</v>
      </c>
      <c r="C30" s="3">
        <f t="shared" si="6"/>
        <v>8134607.1038043946</v>
      </c>
      <c r="D30" s="4">
        <f t="shared" si="0"/>
        <v>90986.881993188523</v>
      </c>
      <c r="E30">
        <f t="shared" si="1"/>
        <v>0.26784831900023753</v>
      </c>
      <c r="F30" s="3">
        <f t="shared" si="2"/>
        <v>2178840.8384813978</v>
      </c>
      <c r="G30" s="3">
        <f t="shared" si="3"/>
        <v>33615954.765307501</v>
      </c>
      <c r="H30" s="3">
        <f t="shared" si="3"/>
        <v>459178091.29874128</v>
      </c>
      <c r="I30">
        <f t="shared" si="4"/>
        <v>23210.174659950979</v>
      </c>
      <c r="J30">
        <f t="shared" si="5"/>
        <v>578080.69970177836</v>
      </c>
      <c r="K30">
        <f t="shared" si="5"/>
        <v>11750298.773871422</v>
      </c>
      <c r="M30" s="6" t="s">
        <v>21</v>
      </c>
      <c r="N30" s="7">
        <f>G1</f>
        <v>0.05</v>
      </c>
      <c r="O30" t="s">
        <v>33</v>
      </c>
    </row>
    <row r="31" spans="1:16" x14ac:dyDescent="0.3">
      <c r="A31">
        <v>28</v>
      </c>
      <c r="B31">
        <v>1.1427730000000001E-2</v>
      </c>
      <c r="C31" s="3">
        <f t="shared" si="6"/>
        <v>8043620.2218112061</v>
      </c>
      <c r="D31" s="4">
        <f t="shared" si="0"/>
        <v>91920.320117398165</v>
      </c>
      <c r="E31">
        <f t="shared" si="1"/>
        <v>0.25509363714308336</v>
      </c>
      <c r="F31" s="3">
        <f t="shared" si="2"/>
        <v>2051876.3381794756</v>
      </c>
      <c r="G31" s="3">
        <f t="shared" si="3"/>
        <v>31437113.926826116</v>
      </c>
      <c r="H31" s="3">
        <f t="shared" si="3"/>
        <v>425562136.53343379</v>
      </c>
      <c r="I31">
        <f t="shared" si="4"/>
        <v>22331.703605812982</v>
      </c>
      <c r="J31">
        <f t="shared" si="5"/>
        <v>554870.52504182747</v>
      </c>
      <c r="K31">
        <f t="shared" si="5"/>
        <v>11172218.074169647</v>
      </c>
      <c r="M31" t="s">
        <v>0</v>
      </c>
      <c r="N31" s="1" t="s">
        <v>34</v>
      </c>
      <c r="O31" s="1" t="s">
        <v>23</v>
      </c>
      <c r="P31" s="1" t="s">
        <v>31</v>
      </c>
    </row>
    <row r="32" spans="1:16" x14ac:dyDescent="0.3">
      <c r="A32">
        <v>29</v>
      </c>
      <c r="B32">
        <v>1.1677150000000001E-2</v>
      </c>
      <c r="C32" s="3">
        <f t="shared" si="6"/>
        <v>7951699.9016938079</v>
      </c>
      <c r="D32" s="4">
        <f t="shared" si="0"/>
        <v>92853.19250706397</v>
      </c>
      <c r="E32">
        <f t="shared" si="1"/>
        <v>0.2429463210886508</v>
      </c>
      <c r="F32" s="3">
        <f t="shared" si="2"/>
        <v>1931836.2375174968</v>
      </c>
      <c r="G32" s="3">
        <f t="shared" si="3"/>
        <v>29385237.588646639</v>
      </c>
      <c r="H32" s="3">
        <f t="shared" si="3"/>
        <v>394125022.60660768</v>
      </c>
      <c r="I32">
        <f t="shared" si="4"/>
        <v>21484.134781835681</v>
      </c>
      <c r="J32">
        <f t="shared" si="5"/>
        <v>532538.82143601449</v>
      </c>
      <c r="K32">
        <f t="shared" si="5"/>
        <v>10617347.549127817</v>
      </c>
      <c r="M32">
        <v>25</v>
      </c>
      <c r="N32" s="8">
        <f>VLOOKUP(M32+1,$A$2:$K$102,7)</f>
        <v>35929065.5378704</v>
      </c>
      <c r="O32" s="8">
        <f t="shared" ref="O32:O34" si="8">VLOOKUP(M32,$A$2:$K$102,6)</f>
        <v>2455078.8892452167</v>
      </c>
      <c r="P32" s="11">
        <f>(N32-G$83)/O32</f>
        <v>14.55192564077567</v>
      </c>
    </row>
    <row r="33" spans="1:16" x14ac:dyDescent="0.3">
      <c r="A33">
        <v>30</v>
      </c>
      <c r="B33">
        <v>1.1830780000000001E-2</v>
      </c>
      <c r="C33" s="3">
        <f t="shared" si="6"/>
        <v>7858846.7091867439</v>
      </c>
      <c r="D33" s="4">
        <f t="shared" si="0"/>
        <v>92976.286470112391</v>
      </c>
      <c r="E33">
        <f t="shared" si="1"/>
        <v>0.23137744865585788</v>
      </c>
      <c r="F33" s="3">
        <f t="shared" si="2"/>
        <v>1818359.9009491135</v>
      </c>
      <c r="G33" s="3">
        <f t="shared" si="3"/>
        <v>27453401.351129141</v>
      </c>
      <c r="H33" s="3">
        <f t="shared" si="3"/>
        <v>364739785.01796103</v>
      </c>
      <c r="I33">
        <f t="shared" si="4"/>
        <v>20488.205665667396</v>
      </c>
      <c r="J33">
        <f t="shared" si="5"/>
        <v>511054.68665417872</v>
      </c>
      <c r="K33">
        <f t="shared" si="5"/>
        <v>10084808.727691803</v>
      </c>
      <c r="M33">
        <v>50</v>
      </c>
      <c r="N33" s="8">
        <f t="shared" ref="N33:N34" si="9">VLOOKUP(M33+1,$A$2:$K$102,7)</f>
        <v>5524108.6490358319</v>
      </c>
      <c r="O33" s="8">
        <f t="shared" si="8"/>
        <v>498359.83908839559</v>
      </c>
      <c r="P33" s="11">
        <f t="shared" ref="P33:P34" si="10">(N33-G$83)/O33</f>
        <v>10.677362283914135</v>
      </c>
    </row>
    <row r="34" spans="1:16" x14ac:dyDescent="0.3">
      <c r="A34">
        <v>31</v>
      </c>
      <c r="B34">
        <v>1.217004E-2</v>
      </c>
      <c r="C34" s="3">
        <f t="shared" si="6"/>
        <v>7765870.4227166316</v>
      </c>
      <c r="D34" s="4">
        <f t="shared" si="0"/>
        <v>94510.953679278493</v>
      </c>
      <c r="E34">
        <f t="shared" si="1"/>
        <v>0.22035947491034086</v>
      </c>
      <c r="F34" s="3">
        <f t="shared" si="2"/>
        <v>1711283.1285715837</v>
      </c>
      <c r="G34" s="3">
        <f t="shared" si="3"/>
        <v>25635041.450180028</v>
      </c>
      <c r="H34" s="3">
        <f t="shared" si="3"/>
        <v>337286383.66683191</v>
      </c>
      <c r="I34">
        <f t="shared" si="4"/>
        <v>19834.651548610815</v>
      </c>
      <c r="J34">
        <f t="shared" si="5"/>
        <v>490566.48098851129</v>
      </c>
      <c r="K34">
        <f t="shared" si="5"/>
        <v>9573754.0410376247</v>
      </c>
      <c r="M34">
        <v>75</v>
      </c>
      <c r="N34" s="8">
        <f t="shared" si="9"/>
        <v>376099.93782267155</v>
      </c>
      <c r="O34" s="8">
        <f t="shared" si="8"/>
        <v>56736.255872617687</v>
      </c>
      <c r="P34" s="11">
        <f t="shared" si="10"/>
        <v>3.0520138458830388</v>
      </c>
    </row>
    <row r="35" spans="1:16" x14ac:dyDescent="0.3">
      <c r="A35">
        <v>32</v>
      </c>
      <c r="B35">
        <v>1.2424050000000001E-2</v>
      </c>
      <c r="C35" s="3">
        <f t="shared" si="6"/>
        <v>7671359.4690373531</v>
      </c>
      <c r="D35" s="4">
        <f t="shared" si="0"/>
        <v>95309.353611293249</v>
      </c>
      <c r="E35">
        <f t="shared" si="1"/>
        <v>0.20986616658127699</v>
      </c>
      <c r="F35" s="3">
        <f t="shared" si="2"/>
        <v>1609958.8042338497</v>
      </c>
      <c r="G35" s="3">
        <f t="shared" si="3"/>
        <v>23923758.321608447</v>
      </c>
      <c r="H35" s="3">
        <f t="shared" si="3"/>
        <v>311651342.21665186</v>
      </c>
      <c r="I35">
        <f t="shared" si="4"/>
        <v>19049.722554039527</v>
      </c>
      <c r="J35">
        <f t="shared" si="5"/>
        <v>470731.82943990052</v>
      </c>
      <c r="K35">
        <f t="shared" si="5"/>
        <v>9083187.5600491129</v>
      </c>
      <c r="N35" s="8"/>
      <c r="O35" s="11"/>
    </row>
    <row r="36" spans="1:16" x14ac:dyDescent="0.3">
      <c r="A36">
        <v>33</v>
      </c>
      <c r="B36">
        <v>1.2606030000000001E-2</v>
      </c>
      <c r="C36" s="3">
        <f t="shared" si="6"/>
        <v>7576050.1154260598</v>
      </c>
      <c r="D36" s="4">
        <f t="shared" si="0"/>
        <v>95503.915036564693</v>
      </c>
      <c r="E36">
        <f t="shared" si="1"/>
        <v>0.19987253960121618</v>
      </c>
      <c r="F36" s="3">
        <f t="shared" si="2"/>
        <v>1514244.3767162936</v>
      </c>
      <c r="G36" s="3">
        <f t="shared" si="3"/>
        <v>22313799.517374597</v>
      </c>
      <c r="H36" s="3">
        <f t="shared" si="3"/>
        <v>287727583.89504349</v>
      </c>
      <c r="I36">
        <f t="shared" si="4"/>
        <v>18179.62860973044</v>
      </c>
      <c r="J36">
        <f t="shared" si="5"/>
        <v>451682.10688586102</v>
      </c>
      <c r="K36">
        <f t="shared" si="5"/>
        <v>8612455.7306092121</v>
      </c>
      <c r="M36" t="s">
        <v>35</v>
      </c>
      <c r="N36" s="8"/>
      <c r="O36" s="8"/>
      <c r="P36" s="10"/>
    </row>
    <row r="37" spans="1:16" x14ac:dyDescent="0.3">
      <c r="A37">
        <v>34</v>
      </c>
      <c r="B37">
        <v>1.274172E-2</v>
      </c>
      <c r="C37" s="3">
        <f t="shared" si="6"/>
        <v>7480546.2003894951</v>
      </c>
      <c r="D37" s="4">
        <f t="shared" si="0"/>
        <v>95315.025132426061</v>
      </c>
      <c r="E37">
        <f t="shared" si="1"/>
        <v>0.19035479962020588</v>
      </c>
      <c r="F37" s="3">
        <f t="shared" si="2"/>
        <v>1423957.8730248348</v>
      </c>
      <c r="G37" s="3">
        <f t="shared" si="3"/>
        <v>20799555.1406583</v>
      </c>
      <c r="H37" s="3">
        <f t="shared" si="3"/>
        <v>265413784.37766898</v>
      </c>
      <c r="I37">
        <f t="shared" si="4"/>
        <v>17279.688104645571</v>
      </c>
      <c r="J37">
        <f t="shared" si="5"/>
        <v>433502.47827613057</v>
      </c>
      <c r="K37">
        <f t="shared" si="5"/>
        <v>8160773.6237233579</v>
      </c>
      <c r="M37" s="6" t="s">
        <v>21</v>
      </c>
      <c r="N37" s="7">
        <f>G1</f>
        <v>0.05</v>
      </c>
      <c r="O37" t="s">
        <v>36</v>
      </c>
    </row>
    <row r="38" spans="1:16" x14ac:dyDescent="0.3">
      <c r="A38">
        <v>35</v>
      </c>
      <c r="B38">
        <v>1.28699E-2</v>
      </c>
      <c r="C38" s="3">
        <f t="shared" si="6"/>
        <v>7385231.1752570691</v>
      </c>
      <c r="D38" s="4">
        <f t="shared" si="0"/>
        <v>95047.186702440493</v>
      </c>
      <c r="E38">
        <f t="shared" si="1"/>
        <v>0.18129028535257702</v>
      </c>
      <c r="F38" s="3">
        <f t="shared" si="2"/>
        <v>1338870.6671571017</v>
      </c>
      <c r="G38" s="3">
        <f t="shared" si="3"/>
        <v>19375597.267633468</v>
      </c>
      <c r="H38" s="3">
        <f t="shared" si="3"/>
        <v>244614229.23701066</v>
      </c>
      <c r="I38">
        <f t="shared" si="4"/>
        <v>16410.601523090572</v>
      </c>
      <c r="J38">
        <f t="shared" si="5"/>
        <v>416222.79017148499</v>
      </c>
      <c r="K38">
        <f t="shared" si="5"/>
        <v>7727271.1454472281</v>
      </c>
      <c r="M38" t="s">
        <v>0</v>
      </c>
      <c r="N38" s="1" t="s">
        <v>34</v>
      </c>
      <c r="O38" s="1" t="s">
        <v>23</v>
      </c>
      <c r="P38" s="1" t="s">
        <v>37</v>
      </c>
    </row>
    <row r="39" spans="1:16" x14ac:dyDescent="0.3">
      <c r="A39">
        <v>36</v>
      </c>
      <c r="B39">
        <v>1.313684E-2</v>
      </c>
      <c r="C39" s="3">
        <f t="shared" si="6"/>
        <v>7290183.9885546286</v>
      </c>
      <c r="D39" s="4">
        <f t="shared" si="0"/>
        <v>95769.980628204532</v>
      </c>
      <c r="E39">
        <f t="shared" si="1"/>
        <v>0.17265741462150191</v>
      </c>
      <c r="F39" s="3">
        <f t="shared" si="2"/>
        <v>1258704.3195789112</v>
      </c>
      <c r="G39" s="3">
        <f t="shared" si="3"/>
        <v>18036726.600476362</v>
      </c>
      <c r="H39" s="3">
        <f t="shared" si="3"/>
        <v>225238631.96937719</v>
      </c>
      <c r="I39">
        <f t="shared" si="4"/>
        <v>15747.997384397253</v>
      </c>
      <c r="J39">
        <f t="shared" si="5"/>
        <v>399812.18864839443</v>
      </c>
      <c r="K39">
        <f t="shared" si="5"/>
        <v>7311048.3552757427</v>
      </c>
      <c r="M39">
        <v>32</v>
      </c>
      <c r="N39" s="8">
        <f>VLOOKUP(M39+10,$A$2:$K$102,7)</f>
        <v>11540804.72832527</v>
      </c>
      <c r="O39" s="8">
        <f>VLOOKUP(M39,$A$2:$K$102,6)</f>
        <v>1609958.8042338497</v>
      </c>
      <c r="P39" s="11">
        <f>(N39-$G$83)/O39</f>
        <v>7.0423321386691482</v>
      </c>
    </row>
    <row r="40" spans="1:16" x14ac:dyDescent="0.3">
      <c r="A40">
        <v>37</v>
      </c>
      <c r="B40">
        <v>1.348688E-2</v>
      </c>
      <c r="C40" s="3">
        <f t="shared" si="6"/>
        <v>7194414.007926424</v>
      </c>
      <c r="D40" s="4">
        <f t="shared" si="0"/>
        <v>97030.198395222425</v>
      </c>
      <c r="E40">
        <f t="shared" si="1"/>
        <v>0.16443563297285896</v>
      </c>
      <c r="F40" s="3">
        <f t="shared" si="2"/>
        <v>1183018.0212621847</v>
      </c>
      <c r="G40" s="3">
        <f t="shared" si="3"/>
        <v>16778022.280897461</v>
      </c>
      <c r="H40" s="3">
        <f t="shared" si="3"/>
        <v>207201905.36890081</v>
      </c>
      <c r="I40">
        <f t="shared" si="4"/>
        <v>15195.449610095699</v>
      </c>
      <c r="J40">
        <f t="shared" si="5"/>
        <v>384064.19126399711</v>
      </c>
      <c r="K40">
        <f t="shared" si="5"/>
        <v>6911236.1666273484</v>
      </c>
      <c r="M40">
        <v>50</v>
      </c>
      <c r="N40" s="8">
        <f>VLOOKUP(M40+10,$A$2:$K$102,7)</f>
        <v>2401549.2210936765</v>
      </c>
      <c r="O40" s="8">
        <f>VLOOKUP(M40,$A$2:$K$102,6)</f>
        <v>498359.83908839559</v>
      </c>
      <c r="P40" s="11">
        <f t="shared" ref="P40:P41" si="11">(N40-$G$83)/O40</f>
        <v>4.4116900065212175</v>
      </c>
    </row>
    <row r="41" spans="1:16" x14ac:dyDescent="0.3">
      <c r="A41">
        <v>38</v>
      </c>
      <c r="B41">
        <v>1.3928340000000001E-2</v>
      </c>
      <c r="C41" s="3">
        <f t="shared" si="6"/>
        <v>7097383.8095312016</v>
      </c>
      <c r="D41" s="4">
        <f t="shared" si="0"/>
        <v>98854.774809645489</v>
      </c>
      <c r="E41">
        <f t="shared" si="1"/>
        <v>0.15660536473605616</v>
      </c>
      <c r="F41" s="3">
        <f t="shared" si="2"/>
        <v>1111488.3801634135</v>
      </c>
      <c r="G41" s="3">
        <f t="shared" si="3"/>
        <v>15595004.25963527</v>
      </c>
      <c r="H41" s="3">
        <f t="shared" si="3"/>
        <v>190423883.08800334</v>
      </c>
      <c r="I41">
        <f t="shared" si="4"/>
        <v>14743.988633300214</v>
      </c>
      <c r="J41">
        <f t="shared" si="5"/>
        <v>368868.74165390147</v>
      </c>
      <c r="K41">
        <f t="shared" si="5"/>
        <v>6527171.9753633514</v>
      </c>
      <c r="M41">
        <v>68</v>
      </c>
      <c r="N41" s="8">
        <f>VLOOKUP(M41+10,$A$2:$K$102,7)</f>
        <v>279571.22761888517</v>
      </c>
      <c r="O41" s="8">
        <f>VLOOKUP(M41,$A$2:$K$102,6)</f>
        <v>112122.80675770884</v>
      </c>
      <c r="P41" s="11">
        <f t="shared" si="11"/>
        <v>0.68345709939817412</v>
      </c>
    </row>
    <row r="42" spans="1:16" x14ac:dyDescent="0.3">
      <c r="A42">
        <v>39</v>
      </c>
      <c r="B42">
        <v>1.4463439999999999E-2</v>
      </c>
      <c r="C42" s="3">
        <f t="shared" si="6"/>
        <v>6998529.0347215561</v>
      </c>
      <c r="D42" s="4">
        <f t="shared" si="0"/>
        <v>101222.80478195287</v>
      </c>
      <c r="E42">
        <f t="shared" si="1"/>
        <v>0.14914796641529154</v>
      </c>
      <c r="F42" s="3">
        <f t="shared" si="2"/>
        <v>1043816.3734270934</v>
      </c>
      <c r="G42" s="3">
        <f t="shared" si="3"/>
        <v>14483515.879471853</v>
      </c>
      <c r="H42" s="3">
        <f t="shared" si="3"/>
        <v>174828878.82836807</v>
      </c>
      <c r="I42">
        <f t="shared" si="4"/>
        <v>14378.262369600305</v>
      </c>
      <c r="J42">
        <f t="shared" si="5"/>
        <v>354124.75302060117</v>
      </c>
      <c r="K42">
        <f t="shared" si="5"/>
        <v>6158303.2337094499</v>
      </c>
    </row>
    <row r="43" spans="1:16" x14ac:dyDescent="0.3">
      <c r="A43">
        <v>40</v>
      </c>
      <c r="B43">
        <v>1.491453E-2</v>
      </c>
      <c r="C43" s="3">
        <f t="shared" si="6"/>
        <v>6897306.2299396032</v>
      </c>
      <c r="D43" s="4">
        <f t="shared" si="0"/>
        <v>102870.08068562113</v>
      </c>
      <c r="E43">
        <f t="shared" si="1"/>
        <v>0.14204568230027767</v>
      </c>
      <c r="F43" s="3">
        <f t="shared" si="2"/>
        <v>979732.56946572685</v>
      </c>
      <c r="G43" s="3">
        <f t="shared" si="3"/>
        <v>13439699.50604476</v>
      </c>
      <c r="H43" s="3">
        <f t="shared" si="3"/>
        <v>160345362.94889623</v>
      </c>
      <c r="I43">
        <f t="shared" si="4"/>
        <v>13916.42933264159</v>
      </c>
      <c r="J43">
        <f t="shared" si="5"/>
        <v>339746.49065100093</v>
      </c>
      <c r="K43">
        <f t="shared" si="5"/>
        <v>5804178.4806888476</v>
      </c>
    </row>
    <row r="44" spans="1:16" x14ac:dyDescent="0.3">
      <c r="A44">
        <v>41</v>
      </c>
      <c r="B44">
        <v>1.5609639999999999E-2</v>
      </c>
      <c r="C44" s="3">
        <f t="shared" si="6"/>
        <v>6794436.1492539821</v>
      </c>
      <c r="D44" s="4">
        <f t="shared" si="0"/>
        <v>106058.70229284093</v>
      </c>
      <c r="E44">
        <f t="shared" si="1"/>
        <v>0.13528160219074065</v>
      </c>
      <c r="F44" s="3">
        <f t="shared" si="2"/>
        <v>919162.2082537649</v>
      </c>
      <c r="G44" s="3">
        <f t="shared" si="3"/>
        <v>12459966.936579036</v>
      </c>
      <c r="H44" s="3">
        <f t="shared" si="3"/>
        <v>146905663.44285145</v>
      </c>
      <c r="I44">
        <f t="shared" si="4"/>
        <v>13664.563021377426</v>
      </c>
      <c r="J44">
        <f t="shared" si="5"/>
        <v>325830.06131835934</v>
      </c>
      <c r="K44">
        <f t="shared" si="5"/>
        <v>5464431.9900378473</v>
      </c>
    </row>
    <row r="45" spans="1:16" x14ac:dyDescent="0.3">
      <c r="A45">
        <v>42</v>
      </c>
      <c r="B45">
        <v>1.6371489999999999E-2</v>
      </c>
      <c r="C45" s="3">
        <f t="shared" si="6"/>
        <v>6688377.4469611412</v>
      </c>
      <c r="D45" s="4">
        <f t="shared" si="0"/>
        <v>109498.70448915008</v>
      </c>
      <c r="E45">
        <f t="shared" si="1"/>
        <v>0.12883962113403868</v>
      </c>
      <c r="F45" s="3">
        <f t="shared" si="2"/>
        <v>861728.01626792236</v>
      </c>
      <c r="G45" s="3">
        <f t="shared" si="3"/>
        <v>11540804.72832527</v>
      </c>
      <c r="H45" s="3">
        <f t="shared" si="3"/>
        <v>134445696.50627238</v>
      </c>
      <c r="I45">
        <f t="shared" si="4"/>
        <v>13435.972953381104</v>
      </c>
      <c r="J45">
        <f t="shared" si="5"/>
        <v>312165.49829698191</v>
      </c>
      <c r="K45">
        <f t="shared" si="5"/>
        <v>5138601.9287194889</v>
      </c>
    </row>
    <row r="46" spans="1:16" x14ac:dyDescent="0.3">
      <c r="A46">
        <v>43</v>
      </c>
      <c r="B46">
        <v>1.7189329999999999E-2</v>
      </c>
      <c r="C46" s="3">
        <f t="shared" si="6"/>
        <v>6578878.7424719911</v>
      </c>
      <c r="D46" s="4">
        <f t="shared" si="0"/>
        <v>113086.51773433574</v>
      </c>
      <c r="E46">
        <f t="shared" si="1"/>
        <v>0.12270440108003686</v>
      </c>
      <c r="F46" s="3">
        <f t="shared" si="2"/>
        <v>807257.37587321165</v>
      </c>
      <c r="G46" s="3">
        <f t="shared" si="3"/>
        <v>10679076.71205735</v>
      </c>
      <c r="H46" s="3">
        <f t="shared" si="3"/>
        <v>122904891.77794711</v>
      </c>
      <c r="I46">
        <f t="shared" si="4"/>
        <v>13215.441360779649</v>
      </c>
      <c r="J46">
        <f t="shared" si="5"/>
        <v>298729.52534360078</v>
      </c>
      <c r="K46">
        <f t="shared" si="5"/>
        <v>4826436.4304225072</v>
      </c>
    </row>
    <row r="47" spans="1:16" x14ac:dyDescent="0.3">
      <c r="A47">
        <v>44</v>
      </c>
      <c r="B47">
        <v>1.8055120000000001E-2</v>
      </c>
      <c r="C47" s="3">
        <f t="shared" si="6"/>
        <v>6465792.2247376554</v>
      </c>
      <c r="D47" s="4">
        <f t="shared" si="0"/>
        <v>116740.65451270528</v>
      </c>
      <c r="E47">
        <f t="shared" si="1"/>
        <v>0.11686133436193985</v>
      </c>
      <c r="F47" s="3">
        <f t="shared" si="2"/>
        <v>755601.10708989808</v>
      </c>
      <c r="G47" s="3">
        <f t="shared" si="3"/>
        <v>9871819.3361841403</v>
      </c>
      <c r="H47" s="3">
        <f t="shared" si="3"/>
        <v>112225815.06588979</v>
      </c>
      <c r="I47">
        <f t="shared" si="4"/>
        <v>12992.827295848527</v>
      </c>
      <c r="J47">
        <f t="shared" si="5"/>
        <v>285514.08398282115</v>
      </c>
      <c r="K47">
        <f t="shared" si="5"/>
        <v>4527706.9050789047</v>
      </c>
    </row>
    <row r="48" spans="1:16" x14ac:dyDescent="0.3">
      <c r="A48">
        <v>45</v>
      </c>
      <c r="B48">
        <v>1.8839829999999998E-2</v>
      </c>
      <c r="C48" s="3">
        <f t="shared" si="6"/>
        <v>6349051.5702249501</v>
      </c>
      <c r="D48" s="4">
        <f t="shared" si="0"/>
        <v>119615.05224427115</v>
      </c>
      <c r="E48">
        <f t="shared" si="1"/>
        <v>0.11129650891613319</v>
      </c>
      <c r="F48" s="3">
        <f t="shared" si="2"/>
        <v>706627.27469453053</v>
      </c>
      <c r="G48" s="3">
        <f t="shared" si="3"/>
        <v>9116218.2290942445</v>
      </c>
      <c r="H48" s="3">
        <f t="shared" si="3"/>
        <v>102353995.72970562</v>
      </c>
      <c r="I48">
        <f t="shared" si="4"/>
        <v>12678.797836769771</v>
      </c>
      <c r="J48">
        <f t="shared" si="5"/>
        <v>272521.25668697263</v>
      </c>
      <c r="K48">
        <f t="shared" si="5"/>
        <v>4242192.8210960841</v>
      </c>
    </row>
    <row r="49" spans="1:11" x14ac:dyDescent="0.3">
      <c r="A49">
        <v>46</v>
      </c>
      <c r="B49">
        <v>1.978603E-2</v>
      </c>
      <c r="C49" s="3">
        <f t="shared" si="6"/>
        <v>6229436.5179806789</v>
      </c>
      <c r="D49" s="4">
        <f t="shared" si="0"/>
        <v>123255.81782786176</v>
      </c>
      <c r="E49">
        <f t="shared" si="1"/>
        <v>0.10599667515822207</v>
      </c>
      <c r="F49" s="3">
        <f t="shared" si="2"/>
        <v>660299.55901516404</v>
      </c>
      <c r="G49" s="3">
        <f t="shared" si="3"/>
        <v>8409590.9543997087</v>
      </c>
      <c r="H49" s="3">
        <f t="shared" si="3"/>
        <v>93237777.50061138</v>
      </c>
      <c r="I49">
        <f t="shared" si="4"/>
        <v>12442.577984438914</v>
      </c>
      <c r="J49">
        <f t="shared" si="5"/>
        <v>259842.4588502027</v>
      </c>
      <c r="K49">
        <f t="shared" si="5"/>
        <v>3969671.5644091084</v>
      </c>
    </row>
    <row r="50" spans="1:11" x14ac:dyDescent="0.3">
      <c r="A50">
        <v>47</v>
      </c>
      <c r="B50">
        <v>2.077704E-2</v>
      </c>
      <c r="C50" s="3">
        <f t="shared" si="6"/>
        <v>6106180.7001528172</v>
      </c>
      <c r="D50" s="4">
        <f t="shared" si="0"/>
        <v>126868.36065430287</v>
      </c>
      <c r="E50">
        <f t="shared" si="1"/>
        <v>0.10094921443640198</v>
      </c>
      <c r="F50" s="3">
        <f t="shared" si="2"/>
        <v>616414.14488714596</v>
      </c>
      <c r="G50" s="3">
        <f t="shared" si="3"/>
        <v>7749291.3953845408</v>
      </c>
      <c r="H50" s="3">
        <f t="shared" si="3"/>
        <v>84828186.54621169</v>
      </c>
      <c r="I50">
        <f t="shared" si="4"/>
        <v>12197.391757034289</v>
      </c>
      <c r="J50">
        <f t="shared" si="5"/>
        <v>247399.88086576379</v>
      </c>
      <c r="K50">
        <f t="shared" si="5"/>
        <v>3709829.1055589062</v>
      </c>
    </row>
    <row r="51" spans="1:11" x14ac:dyDescent="0.3">
      <c r="A51">
        <v>48</v>
      </c>
      <c r="B51">
        <v>2.1816269999999999E-2</v>
      </c>
      <c r="C51" s="3">
        <f t="shared" si="6"/>
        <v>5979312.3394985143</v>
      </c>
      <c r="D51" s="4">
        <f t="shared" si="0"/>
        <v>130446.29241283145</v>
      </c>
      <c r="E51">
        <f t="shared" si="1"/>
        <v>9.6142108987049502E-2</v>
      </c>
      <c r="F51" s="3">
        <f t="shared" si="2"/>
        <v>574863.69861167611</v>
      </c>
      <c r="G51" s="3">
        <f t="shared" si="3"/>
        <v>7132877.2504973942</v>
      </c>
      <c r="H51" s="3">
        <f t="shared" si="3"/>
        <v>77078895.150827155</v>
      </c>
      <c r="I51">
        <f t="shared" si="4"/>
        <v>11944.173011534256</v>
      </c>
      <c r="J51">
        <f t="shared" si="5"/>
        <v>235202.4891087295</v>
      </c>
      <c r="K51">
        <f t="shared" si="5"/>
        <v>3462429.2246931423</v>
      </c>
    </row>
    <row r="52" spans="1:11" x14ac:dyDescent="0.3">
      <c r="A52">
        <v>49</v>
      </c>
      <c r="B52">
        <v>2.2906070000000001E-2</v>
      </c>
      <c r="C52" s="3">
        <f t="shared" si="6"/>
        <v>5848866.0470856829</v>
      </c>
      <c r="D52" s="4">
        <f t="shared" si="0"/>
        <v>133974.53509516828</v>
      </c>
      <c r="E52">
        <f t="shared" si="1"/>
        <v>9.1563913320999515E-2</v>
      </c>
      <c r="F52" s="3">
        <f t="shared" si="2"/>
        <v>535545.06376149051</v>
      </c>
      <c r="G52" s="3">
        <f t="shared" si="3"/>
        <v>6558013.5518857175</v>
      </c>
      <c r="H52" s="3">
        <f t="shared" si="3"/>
        <v>69946017.900329754</v>
      </c>
      <c r="I52">
        <f t="shared" si="4"/>
        <v>11683.078779690662</v>
      </c>
      <c r="J52">
        <f t="shared" si="5"/>
        <v>223258.3160971952</v>
      </c>
      <c r="K52">
        <f t="shared" si="5"/>
        <v>3227226.7355844132</v>
      </c>
    </row>
    <row r="53" spans="1:11" x14ac:dyDescent="0.3">
      <c r="A53">
        <v>50</v>
      </c>
      <c r="B53">
        <v>2.4193550000000001E-2</v>
      </c>
      <c r="C53" s="3">
        <f t="shared" si="6"/>
        <v>5714891.5119905146</v>
      </c>
      <c r="D53" s="4">
        <f t="shared" si="0"/>
        <v>138263.51353991777</v>
      </c>
      <c r="E53">
        <f t="shared" si="1"/>
        <v>8.7203726972380491E-2</v>
      </c>
      <c r="F53" s="3">
        <f t="shared" si="2"/>
        <v>498359.83908839559</v>
      </c>
      <c r="G53" s="3">
        <f t="shared" si="3"/>
        <v>6022468.4881242272</v>
      </c>
      <c r="H53" s="3">
        <f t="shared" si="3"/>
        <v>63388004.348444067</v>
      </c>
      <c r="I53">
        <f t="shared" si="4"/>
        <v>11482.946366644783</v>
      </c>
      <c r="J53">
        <f t="shared" si="5"/>
        <v>211575.23731750451</v>
      </c>
      <c r="K53">
        <f t="shared" si="5"/>
        <v>3003968.419487217</v>
      </c>
    </row>
    <row r="54" spans="1:11" x14ac:dyDescent="0.3">
      <c r="A54">
        <v>51</v>
      </c>
      <c r="B54">
        <v>2.5377819999999999E-2</v>
      </c>
      <c r="C54" s="3">
        <f t="shared" si="6"/>
        <v>5576627.9984505968</v>
      </c>
      <c r="D54" s="4">
        <f t="shared" si="0"/>
        <v>141522.66155163944</v>
      </c>
      <c r="E54">
        <f t="shared" si="1"/>
        <v>8.3051168545124274E-2</v>
      </c>
      <c r="F54" s="3">
        <f t="shared" si="2"/>
        <v>463145.47181277955</v>
      </c>
      <c r="G54" s="3">
        <f t="shared" si="3"/>
        <v>5524108.6490358319</v>
      </c>
      <c r="H54" s="3">
        <f t="shared" si="3"/>
        <v>57365535.86031983</v>
      </c>
      <c r="I54">
        <f t="shared" si="4"/>
        <v>11193.926111885512</v>
      </c>
      <c r="J54">
        <f t="shared" si="5"/>
        <v>200092.29095085975</v>
      </c>
      <c r="K54">
        <f t="shared" si="5"/>
        <v>2792393.1821697131</v>
      </c>
    </row>
    <row r="55" spans="1:11" x14ac:dyDescent="0.3">
      <c r="A55">
        <v>52</v>
      </c>
      <c r="B55">
        <v>2.6583610000000001E-2</v>
      </c>
      <c r="C55" s="3">
        <f t="shared" si="6"/>
        <v>5435105.3368989574</v>
      </c>
      <c r="D55" s="4">
        <f t="shared" si="0"/>
        <v>144484.72058504075</v>
      </c>
      <c r="E55">
        <f t="shared" si="1"/>
        <v>7.909635099535646E-2</v>
      </c>
      <c r="F55" s="3">
        <f t="shared" si="2"/>
        <v>429896.99942409503</v>
      </c>
      <c r="G55" s="3">
        <f t="shared" si="3"/>
        <v>5060963.1772230519</v>
      </c>
      <c r="H55" s="3">
        <f t="shared" si="3"/>
        <v>51841427.211283997</v>
      </c>
      <c r="I55">
        <f t="shared" si="4"/>
        <v>10884.013497962273</v>
      </c>
      <c r="J55">
        <f t="shared" si="5"/>
        <v>188898.36483897423</v>
      </c>
      <c r="K55">
        <f t="shared" si="5"/>
        <v>2592300.8912188532</v>
      </c>
    </row>
    <row r="56" spans="1:11" x14ac:dyDescent="0.3">
      <c r="A56">
        <v>53</v>
      </c>
      <c r="B56">
        <v>2.778798E-2</v>
      </c>
      <c r="C56" s="3">
        <f t="shared" si="6"/>
        <v>5290620.6163139166</v>
      </c>
      <c r="D56" s="4">
        <f t="shared" si="0"/>
        <v>147015.65987371933</v>
      </c>
      <c r="E56">
        <f t="shared" si="1"/>
        <v>7.532985809081566E-2</v>
      </c>
      <c r="F56" s="3">
        <f t="shared" si="2"/>
        <v>398541.70023927104</v>
      </c>
      <c r="G56" s="3">
        <f t="shared" si="3"/>
        <v>4631066.1777989585</v>
      </c>
      <c r="H56" s="3">
        <f t="shared" si="3"/>
        <v>46780464.034060955</v>
      </c>
      <c r="I56">
        <f t="shared" si="4"/>
        <v>10547.303614680855</v>
      </c>
      <c r="J56">
        <f t="shared" si="5"/>
        <v>178014.35134101193</v>
      </c>
      <c r="K56">
        <f t="shared" si="5"/>
        <v>2403402.5263798796</v>
      </c>
    </row>
    <row r="57" spans="1:11" x14ac:dyDescent="0.3">
      <c r="A57">
        <v>54</v>
      </c>
      <c r="B57">
        <v>2.8966459999999999E-2</v>
      </c>
      <c r="C57" s="3">
        <f t="shared" si="6"/>
        <v>5143604.9564401973</v>
      </c>
      <c r="D57" s="4">
        <f t="shared" si="0"/>
        <v>148992.02722652722</v>
      </c>
      <c r="E57">
        <f t="shared" si="1"/>
        <v>7.1742721991253006E-2</v>
      </c>
      <c r="F57" s="3">
        <f t="shared" si="2"/>
        <v>369016.22042272013</v>
      </c>
      <c r="G57" s="3">
        <f t="shared" si="3"/>
        <v>4232524.4775596866</v>
      </c>
      <c r="H57" s="3">
        <f t="shared" si="3"/>
        <v>42149397.856261998</v>
      </c>
      <c r="I57">
        <f t="shared" si="4"/>
        <v>10180.089131643752</v>
      </c>
      <c r="J57">
        <f t="shared" si="5"/>
        <v>167467.0477263311</v>
      </c>
      <c r="K57">
        <f t="shared" si="5"/>
        <v>2225388.1750388676</v>
      </c>
    </row>
    <row r="58" spans="1:11" x14ac:dyDescent="0.3">
      <c r="A58">
        <v>55</v>
      </c>
      <c r="B58">
        <v>3.0234069999999998E-2</v>
      </c>
      <c r="C58" s="3">
        <f t="shared" si="6"/>
        <v>4994612.9292136701</v>
      </c>
      <c r="D58" s="4">
        <f t="shared" si="0"/>
        <v>151007.47692475095</v>
      </c>
      <c r="E58">
        <f t="shared" si="1"/>
        <v>6.8326401896431424E-2</v>
      </c>
      <c r="F58" s="3">
        <f t="shared" si="2"/>
        <v>341263.93031856581</v>
      </c>
      <c r="G58" s="3">
        <f t="shared" si="3"/>
        <v>3863508.2571369689</v>
      </c>
      <c r="H58" s="3">
        <f t="shared" si="3"/>
        <v>37916873.378702313</v>
      </c>
      <c r="I58">
        <f t="shared" si="4"/>
        <v>9826.4738645015514</v>
      </c>
      <c r="J58">
        <f t="shared" si="5"/>
        <v>157286.95859468734</v>
      </c>
      <c r="K58">
        <f t="shared" si="5"/>
        <v>2057921.1273125366</v>
      </c>
    </row>
    <row r="59" spans="1:11" x14ac:dyDescent="0.3">
      <c r="A59">
        <v>56</v>
      </c>
      <c r="B59">
        <v>3.1306720000000003E-2</v>
      </c>
      <c r="C59" s="3">
        <f t="shared" si="6"/>
        <v>4843605.4522889191</v>
      </c>
      <c r="D59" s="4">
        <f t="shared" si="0"/>
        <v>151637.39968528226</v>
      </c>
      <c r="E59">
        <f t="shared" si="1"/>
        <v>6.5072763710887077E-2</v>
      </c>
      <c r="F59" s="3">
        <f t="shared" si="2"/>
        <v>315186.79310556117</v>
      </c>
      <c r="G59" s="3">
        <f t="shared" si="3"/>
        <v>3522244.3268184029</v>
      </c>
      <c r="H59" s="3">
        <f t="shared" si="3"/>
        <v>34053365.121565327</v>
      </c>
      <c r="I59">
        <f t="shared" si="4"/>
        <v>9397.5854090035391</v>
      </c>
      <c r="J59">
        <f t="shared" si="5"/>
        <v>147460.4847301858</v>
      </c>
      <c r="K59">
        <f t="shared" si="5"/>
        <v>1900634.1687178493</v>
      </c>
    </row>
    <row r="60" spans="1:11" x14ac:dyDescent="0.3">
      <c r="A60">
        <v>57</v>
      </c>
      <c r="B60">
        <v>3.2308429999999999E-2</v>
      </c>
      <c r="C60" s="3">
        <f t="shared" si="6"/>
        <v>4691968.0526036369</v>
      </c>
      <c r="D60" s="4">
        <f t="shared" si="0"/>
        <v>151590.12138978112</v>
      </c>
      <c r="E60">
        <f t="shared" si="1"/>
        <v>6.1974060677035314E-2</v>
      </c>
      <c r="F60" s="3">
        <f t="shared" si="2"/>
        <v>290780.31278676901</v>
      </c>
      <c r="G60" s="3">
        <f t="shared" si="3"/>
        <v>3207057.5337128416</v>
      </c>
      <c r="H60" s="3">
        <f t="shared" si="3"/>
        <v>30531120.794746909</v>
      </c>
      <c r="I60">
        <f t="shared" si="4"/>
        <v>8947.2908390947086</v>
      </c>
      <c r="J60">
        <f t="shared" si="5"/>
        <v>138062.89932118228</v>
      </c>
      <c r="K60">
        <f t="shared" si="5"/>
        <v>1753173.6839876634</v>
      </c>
    </row>
    <row r="61" spans="1:11" x14ac:dyDescent="0.3">
      <c r="A61">
        <v>58</v>
      </c>
      <c r="B61">
        <v>3.3238999999999998E-2</v>
      </c>
      <c r="C61" s="3">
        <f t="shared" si="6"/>
        <v>4540377.9312138557</v>
      </c>
      <c r="D61" s="4">
        <f t="shared" si="0"/>
        <v>150917.62205561716</v>
      </c>
      <c r="E61">
        <f t="shared" si="1"/>
        <v>5.9022914930509818E-2</v>
      </c>
      <c r="F61" s="3">
        <f t="shared" si="2"/>
        <v>267986.34038639959</v>
      </c>
      <c r="G61" s="3">
        <f t="shared" si="3"/>
        <v>2916277.2209260724</v>
      </c>
      <c r="H61" s="3">
        <f t="shared" si="3"/>
        <v>27324063.261034068</v>
      </c>
      <c r="I61">
        <f t="shared" si="4"/>
        <v>8483.4266362890703</v>
      </c>
      <c r="J61">
        <f t="shared" si="5"/>
        <v>129115.60848208761</v>
      </c>
      <c r="K61">
        <f t="shared" si="5"/>
        <v>1615110.7846664812</v>
      </c>
    </row>
    <row r="62" spans="1:11" x14ac:dyDescent="0.3">
      <c r="A62">
        <v>59</v>
      </c>
      <c r="B62">
        <v>3.4104160000000001E-2</v>
      </c>
      <c r="C62" s="3">
        <f t="shared" si="6"/>
        <v>4389460.3091582386</v>
      </c>
      <c r="D62" s="4">
        <f t="shared" si="0"/>
        <v>149698.85669718217</v>
      </c>
      <c r="E62">
        <f t="shared" si="1"/>
        <v>5.621229993381887E-2</v>
      </c>
      <c r="F62" s="3">
        <f t="shared" si="2"/>
        <v>246741.65944599622</v>
      </c>
      <c r="G62" s="3">
        <f t="shared" si="3"/>
        <v>2648290.8805396724</v>
      </c>
      <c r="H62" s="3">
        <f t="shared" si="3"/>
        <v>24407786.040107992</v>
      </c>
      <c r="I62">
        <f t="shared" si="4"/>
        <v>8014.2066975350226</v>
      </c>
      <c r="J62">
        <f t="shared" si="5"/>
        <v>120632.18184579854</v>
      </c>
      <c r="K62">
        <f t="shared" si="5"/>
        <v>1485995.1761843937</v>
      </c>
    </row>
    <row r="63" spans="1:11" x14ac:dyDescent="0.3">
      <c r="A63">
        <v>60</v>
      </c>
      <c r="B63">
        <v>3.5682190000000003E-2</v>
      </c>
      <c r="C63" s="3">
        <f t="shared" si="6"/>
        <v>4239761.4524610564</v>
      </c>
      <c r="D63" s="4">
        <f t="shared" si="0"/>
        <v>151283.97370139137</v>
      </c>
      <c r="E63">
        <f t="shared" si="1"/>
        <v>5.353552374649416E-2</v>
      </c>
      <c r="F63" s="3">
        <f t="shared" si="2"/>
        <v>226977.84991769947</v>
      </c>
      <c r="G63" s="3">
        <f t="shared" si="3"/>
        <v>2401549.2210936765</v>
      </c>
      <c r="H63" s="3">
        <f t="shared" si="3"/>
        <v>21759495.159568317</v>
      </c>
      <c r="I63">
        <f t="shared" si="4"/>
        <v>7713.3969205284147</v>
      </c>
      <c r="J63">
        <f t="shared" si="5"/>
        <v>112617.97514826353</v>
      </c>
      <c r="K63">
        <f t="shared" si="5"/>
        <v>1365362.9943385953</v>
      </c>
    </row>
    <row r="64" spans="1:11" x14ac:dyDescent="0.3">
      <c r="A64">
        <v>61</v>
      </c>
      <c r="B64">
        <v>3.6466220000000001E-2</v>
      </c>
      <c r="C64" s="3">
        <f t="shared" si="6"/>
        <v>4088477.478759665</v>
      </c>
      <c r="D64" s="4">
        <f t="shared" si="0"/>
        <v>149091.31920549506</v>
      </c>
      <c r="E64">
        <f t="shared" si="1"/>
        <v>5.0986213091899199E-2</v>
      </c>
      <c r="F64" s="3">
        <f t="shared" si="2"/>
        <v>208455.98395347106</v>
      </c>
      <c r="G64" s="3">
        <f t="shared" si="3"/>
        <v>2174571.3711759769</v>
      </c>
      <c r="H64" s="3">
        <f t="shared" si="3"/>
        <v>19357945.93847464</v>
      </c>
      <c r="I64">
        <f t="shared" si="4"/>
        <v>7239.6207344416507</v>
      </c>
      <c r="J64">
        <f t="shared" si="5"/>
        <v>104904.5782277351</v>
      </c>
      <c r="K64">
        <f t="shared" si="5"/>
        <v>1252745.0191903317</v>
      </c>
    </row>
    <row r="65" spans="1:11" x14ac:dyDescent="0.3">
      <c r="A65">
        <v>62</v>
      </c>
      <c r="B65">
        <v>3.7221379999999998E-2</v>
      </c>
      <c r="C65" s="3">
        <f t="shared" si="6"/>
        <v>3939386.15955417</v>
      </c>
      <c r="D65" s="4">
        <f t="shared" si="0"/>
        <v>146629.38921150612</v>
      </c>
      <c r="E65">
        <f t="shared" si="1"/>
        <v>4.8558298182761132E-2</v>
      </c>
      <c r="F65" s="3">
        <f t="shared" si="2"/>
        <v>191289.8877926736</v>
      </c>
      <c r="G65" s="3">
        <f t="shared" si="3"/>
        <v>1966115.3872225045</v>
      </c>
      <c r="H65" s="3">
        <f t="shared" si="3"/>
        <v>17183374.567298666</v>
      </c>
      <c r="I65">
        <f t="shared" si="4"/>
        <v>6781.0224797032888</v>
      </c>
      <c r="J65">
        <f t="shared" si="5"/>
        <v>97664.957493293448</v>
      </c>
      <c r="K65">
        <f t="shared" si="5"/>
        <v>1147840.4409625968</v>
      </c>
    </row>
    <row r="66" spans="1:11" x14ac:dyDescent="0.3">
      <c r="A66">
        <v>63</v>
      </c>
      <c r="B66">
        <v>3.7963110000000001E-2</v>
      </c>
      <c r="C66" s="3">
        <f t="shared" si="6"/>
        <v>3792756.7703426639</v>
      </c>
      <c r="D66" s="4">
        <f t="shared" si="0"/>
        <v>143984.84247576306</v>
      </c>
      <c r="E66">
        <f t="shared" si="1"/>
        <v>4.6245998269296325E-2</v>
      </c>
      <c r="F66" s="3">
        <f t="shared" si="2"/>
        <v>175399.82303712875</v>
      </c>
      <c r="G66" s="3">
        <f t="shared" si="3"/>
        <v>1774825.4994298308</v>
      </c>
      <c r="H66" s="3">
        <f t="shared" si="3"/>
        <v>15217259.180076174</v>
      </c>
      <c r="I66">
        <f t="shared" si="4"/>
        <v>6341.6407389895639</v>
      </c>
      <c r="J66">
        <f t="shared" si="5"/>
        <v>90883.935013590162</v>
      </c>
      <c r="K66">
        <f t="shared" si="5"/>
        <v>1050175.483469303</v>
      </c>
    </row>
    <row r="67" spans="1:11" x14ac:dyDescent="0.3">
      <c r="A67">
        <v>64</v>
      </c>
      <c r="B67">
        <v>3.870763E-2</v>
      </c>
      <c r="C67" s="3">
        <f t="shared" si="6"/>
        <v>3648771.9278669008</v>
      </c>
      <c r="D67" s="4">
        <f t="shared" si="0"/>
        <v>141235.31373825856</v>
      </c>
      <c r="E67">
        <f t="shared" si="1"/>
        <v>4.4043807875520306E-2</v>
      </c>
      <c r="F67" s="3">
        <f t="shared" si="2"/>
        <v>160705.80977256162</v>
      </c>
      <c r="G67" s="3">
        <f t="shared" si="3"/>
        <v>1599425.6763927022</v>
      </c>
      <c r="H67" s="3">
        <f t="shared" si="3"/>
        <v>13442433.680646343</v>
      </c>
      <c r="I67">
        <f t="shared" si="4"/>
        <v>5924.3247843111358</v>
      </c>
      <c r="J67">
        <f t="shared" si="5"/>
        <v>84542.294274600587</v>
      </c>
      <c r="K67">
        <f t="shared" si="5"/>
        <v>959291.5484557125</v>
      </c>
    </row>
    <row r="68" spans="1:11" x14ac:dyDescent="0.3">
      <c r="A68">
        <v>65</v>
      </c>
      <c r="B68">
        <v>4.0074930000000002E-2</v>
      </c>
      <c r="C68" s="3">
        <f t="shared" si="6"/>
        <v>3507536.6141286422</v>
      </c>
      <c r="D68" s="4">
        <f t="shared" ref="D68:D113" si="12">C68-C69</f>
        <v>140564.28428364219</v>
      </c>
      <c r="E68">
        <f t="shared" ref="E68:E113" si="13">(1/(1+$G$1))^A68</f>
        <v>4.1946483690971717E-2</v>
      </c>
      <c r="F68" s="3">
        <f t="shared" ref="F68:F113" si="14">C68*E68</f>
        <v>147128.82738003324</v>
      </c>
      <c r="G68" s="3">
        <f t="shared" ref="G68:H113" si="15">SUM(F68:F178)</f>
        <v>1438719.8666201406</v>
      </c>
      <c r="H68" s="3">
        <f t="shared" si="15"/>
        <v>11843008.004253644</v>
      </c>
      <c r="I68">
        <f t="shared" ref="I68:I113" si="16">D68*E69</f>
        <v>5615.4071030827708</v>
      </c>
      <c r="J68">
        <f t="shared" ref="J68:K113" si="17">SUM(I68:I178)</f>
        <v>78617.969490289455</v>
      </c>
      <c r="K68">
        <f t="shared" si="17"/>
        <v>874749.25418111181</v>
      </c>
    </row>
    <row r="69" spans="1:11" x14ac:dyDescent="0.3">
      <c r="A69">
        <v>66</v>
      </c>
      <c r="B69">
        <v>4.0896399999999999E-2</v>
      </c>
      <c r="C69" s="3">
        <f t="shared" ref="C69:C113" si="18">C68*(1-B68)</f>
        <v>3366972.3298450001</v>
      </c>
      <c r="D69" s="4">
        <f t="shared" si="12"/>
        <v>137697.04719027318</v>
      </c>
      <c r="E69">
        <f t="shared" si="13"/>
        <v>3.9949032086639732E-2</v>
      </c>
      <c r="F69" s="3">
        <f t="shared" si="14"/>
        <v>134507.28563980604</v>
      </c>
      <c r="G69" s="3">
        <f t="shared" si="15"/>
        <v>1291591.0392401074</v>
      </c>
      <c r="H69" s="3">
        <f t="shared" si="15"/>
        <v>10404288.137633502</v>
      </c>
      <c r="I69">
        <f t="shared" si="16"/>
        <v>5238.9178632759695</v>
      </c>
      <c r="J69">
        <f t="shared" si="17"/>
        <v>73002.562387206679</v>
      </c>
      <c r="K69">
        <f t="shared" si="17"/>
        <v>796131.28469082236</v>
      </c>
    </row>
    <row r="70" spans="1:11" x14ac:dyDescent="0.3">
      <c r="A70">
        <v>67</v>
      </c>
      <c r="B70">
        <v>4.1788829999999999E-2</v>
      </c>
      <c r="C70" s="3">
        <f t="shared" si="18"/>
        <v>3229275.2826547269</v>
      </c>
      <c r="D70" s="4">
        <f t="shared" si="12"/>
        <v>134947.63581006043</v>
      </c>
      <c r="E70">
        <f t="shared" si="13"/>
        <v>3.804669722537117E-2</v>
      </c>
      <c r="F70" s="3">
        <f t="shared" si="14"/>
        <v>122863.25893653929</v>
      </c>
      <c r="G70" s="3">
        <f t="shared" si="15"/>
        <v>1157083.7536003015</v>
      </c>
      <c r="H70" s="3">
        <f t="shared" si="15"/>
        <v>9112697.0983933974</v>
      </c>
      <c r="I70">
        <f t="shared" si="16"/>
        <v>4889.8208009000246</v>
      </c>
      <c r="J70">
        <f t="shared" si="17"/>
        <v>67763.644523930721</v>
      </c>
      <c r="K70">
        <f t="shared" si="17"/>
        <v>723128.72230361553</v>
      </c>
    </row>
    <row r="71" spans="1:11" x14ac:dyDescent="0.3">
      <c r="A71">
        <v>68</v>
      </c>
      <c r="B71">
        <v>4.2783370000000001E-2</v>
      </c>
      <c r="C71" s="3">
        <f t="shared" si="18"/>
        <v>3094327.6468446665</v>
      </c>
      <c r="D71" s="4">
        <f t="shared" si="12"/>
        <v>132385.76461618487</v>
      </c>
      <c r="E71">
        <f t="shared" si="13"/>
        <v>3.6234949738448735E-2</v>
      </c>
      <c r="F71" s="3">
        <f t="shared" si="14"/>
        <v>112122.80675770884</v>
      </c>
      <c r="G71" s="3">
        <f t="shared" si="15"/>
        <v>1034220.4946637623</v>
      </c>
      <c r="H71" s="3">
        <f t="shared" si="15"/>
        <v>7955613.3447930897</v>
      </c>
      <c r="I71">
        <f t="shared" si="16"/>
        <v>4568.5633590033931</v>
      </c>
      <c r="J71">
        <f t="shared" si="17"/>
        <v>62873.823723030699</v>
      </c>
      <c r="K71">
        <f t="shared" si="17"/>
        <v>655365.07777968503</v>
      </c>
    </row>
    <row r="72" spans="1:11" x14ac:dyDescent="0.3">
      <c r="A72">
        <v>69</v>
      </c>
      <c r="B72">
        <v>4.3915679999999999E-2</v>
      </c>
      <c r="C72" s="3">
        <f t="shared" si="18"/>
        <v>2961941.8822284816</v>
      </c>
      <c r="D72" s="4">
        <f t="shared" si="12"/>
        <v>130075.6918785437</v>
      </c>
      <c r="E72">
        <f t="shared" si="13"/>
        <v>3.4509475941379743E-2</v>
      </c>
      <c r="F72" s="3">
        <f t="shared" si="14"/>
        <v>102215.06212452882</v>
      </c>
      <c r="G72" s="3">
        <f t="shared" si="15"/>
        <v>922097.6879060535</v>
      </c>
      <c r="H72" s="3">
        <f t="shared" si="15"/>
        <v>6921392.8501293277</v>
      </c>
      <c r="I72">
        <f t="shared" si="16"/>
        <v>4275.0894851818366</v>
      </c>
      <c r="J72">
        <f t="shared" si="17"/>
        <v>58305.260364027301</v>
      </c>
      <c r="K72">
        <f t="shared" si="17"/>
        <v>592491.25405665429</v>
      </c>
    </row>
    <row r="73" spans="1:11" x14ac:dyDescent="0.3">
      <c r="A73">
        <v>70</v>
      </c>
      <c r="B73">
        <v>4.5299939999999997E-2</v>
      </c>
      <c r="C73" s="3">
        <f t="shared" si="18"/>
        <v>2831866.1903499379</v>
      </c>
      <c r="D73" s="4">
        <f t="shared" si="12"/>
        <v>128283.36851088097</v>
      </c>
      <c r="E73">
        <f t="shared" si="13"/>
        <v>3.2866167563218807E-2</v>
      </c>
      <c r="F73" s="3">
        <f t="shared" si="14"/>
        <v>93072.588728655144</v>
      </c>
      <c r="G73" s="3">
        <f t="shared" si="15"/>
        <v>819882.62578152481</v>
      </c>
      <c r="H73" s="3">
        <f t="shared" si="15"/>
        <v>5999295.1622232739</v>
      </c>
      <c r="I73">
        <f t="shared" si="16"/>
        <v>4015.4120810026284</v>
      </c>
      <c r="J73">
        <f t="shared" si="17"/>
        <v>54030.170878845471</v>
      </c>
      <c r="K73">
        <f t="shared" si="17"/>
        <v>534185.99369262694</v>
      </c>
    </row>
    <row r="74" spans="1:11" x14ac:dyDescent="0.3">
      <c r="A74">
        <v>71</v>
      </c>
      <c r="B74">
        <v>4.6835330000000001E-2</v>
      </c>
      <c r="C74" s="3">
        <f t="shared" si="18"/>
        <v>2703582.8218390569</v>
      </c>
      <c r="D74" s="4">
        <f t="shared" si="12"/>
        <v>126623.19364316342</v>
      </c>
      <c r="E74">
        <f t="shared" si="13"/>
        <v>3.1301111964970284E-2</v>
      </c>
      <c r="F74" s="3">
        <f t="shared" si="14"/>
        <v>84625.148612954625</v>
      </c>
      <c r="G74" s="3">
        <f t="shared" si="15"/>
        <v>726810.03705286945</v>
      </c>
      <c r="H74" s="3">
        <f t="shared" si="15"/>
        <v>5179412.536441749</v>
      </c>
      <c r="I74">
        <f t="shared" si="16"/>
        <v>3774.7112015112111</v>
      </c>
      <c r="J74">
        <f t="shared" si="17"/>
        <v>50014.758797842835</v>
      </c>
      <c r="K74">
        <f t="shared" si="17"/>
        <v>480155.82281378179</v>
      </c>
    </row>
    <row r="75" spans="1:11" x14ac:dyDescent="0.3">
      <c r="A75">
        <v>72</v>
      </c>
      <c r="B75">
        <v>4.8640910000000002E-2</v>
      </c>
      <c r="C75" s="3">
        <f t="shared" si="18"/>
        <v>2576959.6281958935</v>
      </c>
      <c r="D75" s="4">
        <f t="shared" si="12"/>
        <v>125345.66134870984</v>
      </c>
      <c r="E75">
        <f t="shared" si="13"/>
        <v>2.9810582823781222E-2</v>
      </c>
      <c r="F75" s="3">
        <f t="shared" si="14"/>
        <v>76820.668429874146</v>
      </c>
      <c r="G75" s="3">
        <f t="shared" si="15"/>
        <v>642184.88843991479</v>
      </c>
      <c r="H75" s="3">
        <f t="shared" si="15"/>
        <v>4452602.4993888792</v>
      </c>
      <c r="I75">
        <f t="shared" si="16"/>
        <v>3558.692589749855</v>
      </c>
      <c r="J75">
        <f t="shared" si="17"/>
        <v>46240.047596331635</v>
      </c>
      <c r="K75">
        <f t="shared" si="17"/>
        <v>430141.0640159389</v>
      </c>
    </row>
    <row r="76" spans="1:11" x14ac:dyDescent="0.3">
      <c r="A76">
        <v>73</v>
      </c>
      <c r="B76">
        <v>5.0765329999999997E-2</v>
      </c>
      <c r="C76" s="3">
        <f t="shared" si="18"/>
        <v>2451613.9668471836</v>
      </c>
      <c r="D76" s="4">
        <f t="shared" si="12"/>
        <v>124456.99205960613</v>
      </c>
      <c r="E76">
        <f t="shared" si="13"/>
        <v>2.8391031260744024E-2</v>
      </c>
      <c r="F76" s="3">
        <f t="shared" si="14"/>
        <v>69603.848772035053</v>
      </c>
      <c r="G76" s="3">
        <f t="shared" si="15"/>
        <v>565364.22001004068</v>
      </c>
      <c r="H76" s="3">
        <f t="shared" si="15"/>
        <v>3810417.610948965</v>
      </c>
      <c r="I76">
        <f t="shared" si="16"/>
        <v>3365.2022401737599</v>
      </c>
      <c r="J76">
        <f t="shared" si="17"/>
        <v>42681.355006581776</v>
      </c>
      <c r="K76">
        <f t="shared" si="17"/>
        <v>383901.01641960727</v>
      </c>
    </row>
    <row r="77" spans="1:11" x14ac:dyDescent="0.3">
      <c r="A77">
        <v>74</v>
      </c>
      <c r="B77">
        <v>5.3256299999999999E-2</v>
      </c>
      <c r="C77" s="3">
        <f t="shared" si="18"/>
        <v>2327156.9747875775</v>
      </c>
      <c r="D77" s="4">
        <f t="shared" si="12"/>
        <v>123935.76999637997</v>
      </c>
      <c r="E77">
        <f t="shared" si="13"/>
        <v>2.7039077391184781E-2</v>
      </c>
      <c r="F77" s="3">
        <f t="shared" si="14"/>
        <v>62924.177542716759</v>
      </c>
      <c r="G77" s="3">
        <f t="shared" si="15"/>
        <v>495760.37123800587</v>
      </c>
      <c r="H77" s="3">
        <f t="shared" si="15"/>
        <v>3245053.3909389246</v>
      </c>
      <c r="I77">
        <f t="shared" si="16"/>
        <v>3191.5322633030428</v>
      </c>
      <c r="J77">
        <f t="shared" si="17"/>
        <v>39316.15276640802</v>
      </c>
      <c r="K77">
        <f t="shared" si="17"/>
        <v>341219.66141302552</v>
      </c>
    </row>
    <row r="78" spans="1:11" x14ac:dyDescent="0.3">
      <c r="A78">
        <v>75</v>
      </c>
      <c r="B78">
        <v>5.7149190000000002E-2</v>
      </c>
      <c r="C78" s="3">
        <f t="shared" si="18"/>
        <v>2203221.2047911976</v>
      </c>
      <c r="D78" s="4">
        <f t="shared" si="12"/>
        <v>125912.30724464101</v>
      </c>
      <c r="E78">
        <f t="shared" si="13"/>
        <v>2.5751502277318841E-2</v>
      </c>
      <c r="F78" s="3">
        <f t="shared" si="14"/>
        <v>56736.255872617687</v>
      </c>
      <c r="G78" s="3">
        <f t="shared" si="15"/>
        <v>432836.1936952892</v>
      </c>
      <c r="H78" s="3">
        <f t="shared" si="15"/>
        <v>2749293.0197009188</v>
      </c>
      <c r="I78">
        <f t="shared" si="16"/>
        <v>3088.0295873836594</v>
      </c>
      <c r="J78">
        <f t="shared" si="17"/>
        <v>36124.620503104976</v>
      </c>
      <c r="K78">
        <f t="shared" si="17"/>
        <v>301903.50864661747</v>
      </c>
    </row>
    <row r="79" spans="1:11" x14ac:dyDescent="0.3">
      <c r="A79">
        <v>76</v>
      </c>
      <c r="B79">
        <v>6.0557229999999997E-2</v>
      </c>
      <c r="C79" s="3">
        <f t="shared" si="18"/>
        <v>2077308.8975465565</v>
      </c>
      <c r="D79" s="4">
        <f t="shared" si="12"/>
        <v>125796.07268977328</v>
      </c>
      <c r="E79">
        <f t="shared" si="13"/>
        <v>2.4525240264113179E-2</v>
      </c>
      <c r="F79" s="3">
        <f t="shared" si="14"/>
        <v>50946.499815109368</v>
      </c>
      <c r="G79" s="3">
        <f t="shared" si="15"/>
        <v>376099.93782267155</v>
      </c>
      <c r="H79" s="3">
        <f t="shared" si="15"/>
        <v>2316456.8260056293</v>
      </c>
      <c r="I79">
        <f t="shared" si="16"/>
        <v>2938.2656257128911</v>
      </c>
      <c r="J79">
        <f t="shared" si="17"/>
        <v>33036.590915721317</v>
      </c>
      <c r="K79">
        <f t="shared" si="17"/>
        <v>265778.88814351248</v>
      </c>
    </row>
    <row r="80" spans="1:11" x14ac:dyDescent="0.3">
      <c r="A80">
        <v>77</v>
      </c>
      <c r="B80">
        <v>6.4447969999999993E-2</v>
      </c>
      <c r="C80" s="3">
        <f t="shared" si="18"/>
        <v>1951512.8248567833</v>
      </c>
      <c r="D80" s="4">
        <f t="shared" si="12"/>
        <v>125771.0399909853</v>
      </c>
      <c r="E80">
        <f t="shared" si="13"/>
        <v>2.3357371680107788E-2</v>
      </c>
      <c r="F80" s="3">
        <f t="shared" si="14"/>
        <v>45582.210388676976</v>
      </c>
      <c r="G80" s="3">
        <f t="shared" si="15"/>
        <v>325153.43800756213</v>
      </c>
      <c r="H80" s="3">
        <f t="shared" si="15"/>
        <v>1940356.8881829574</v>
      </c>
      <c r="I80">
        <f t="shared" si="16"/>
        <v>2797.7913596791846</v>
      </c>
      <c r="J80">
        <f t="shared" si="17"/>
        <v>30098.325290008426</v>
      </c>
      <c r="K80">
        <f t="shared" si="17"/>
        <v>232742.29722779119</v>
      </c>
    </row>
    <row r="81" spans="1:11" x14ac:dyDescent="0.3">
      <c r="A81">
        <v>78</v>
      </c>
      <c r="B81">
        <v>6.8835709999999994E-2</v>
      </c>
      <c r="C81" s="3">
        <f t="shared" si="18"/>
        <v>1825741.784865798</v>
      </c>
      <c r="D81" s="4">
        <f t="shared" si="12"/>
        <v>125676.23203790444</v>
      </c>
      <c r="E81">
        <f t="shared" si="13"/>
        <v>2.224511588581694E-2</v>
      </c>
      <c r="F81" s="3">
        <f t="shared" si="14"/>
        <v>40613.837581917935</v>
      </c>
      <c r="G81" s="3">
        <f t="shared" si="15"/>
        <v>279571.22761888517</v>
      </c>
      <c r="H81" s="3">
        <f t="shared" si="15"/>
        <v>1615203.450175395</v>
      </c>
      <c r="I81">
        <f t="shared" si="16"/>
        <v>2662.5546150247656</v>
      </c>
      <c r="J81">
        <f t="shared" si="17"/>
        <v>27300.533930329249</v>
      </c>
      <c r="K81">
        <f t="shared" si="17"/>
        <v>202643.9719377828</v>
      </c>
    </row>
    <row r="82" spans="1:11" x14ac:dyDescent="0.3">
      <c r="A82">
        <v>79</v>
      </c>
      <c r="B82">
        <v>7.3719789999999993E-2</v>
      </c>
      <c r="C82" s="3">
        <f t="shared" si="18"/>
        <v>1700065.5528278935</v>
      </c>
      <c r="D82" s="4">
        <f t="shared" si="12"/>
        <v>125328.47554070619</v>
      </c>
      <c r="E82">
        <f t="shared" si="13"/>
        <v>2.1185824653158991E-2</v>
      </c>
      <c r="F82" s="3">
        <f t="shared" si="14"/>
        <v>36017.290701087557</v>
      </c>
      <c r="G82" s="3">
        <f t="shared" si="15"/>
        <v>238957.39003696706</v>
      </c>
      <c r="H82" s="3">
        <f t="shared" si="15"/>
        <v>1335632.2225565098</v>
      </c>
      <c r="I82">
        <f t="shared" si="16"/>
        <v>2528.7496255744063</v>
      </c>
      <c r="J82">
        <f t="shared" si="17"/>
        <v>24637.979315304481</v>
      </c>
      <c r="K82">
        <f t="shared" si="17"/>
        <v>175343.43800745354</v>
      </c>
    </row>
    <row r="83" spans="1:11" x14ac:dyDescent="0.3">
      <c r="A83">
        <v>80</v>
      </c>
      <c r="B83">
        <v>8.0051689999999995E-2</v>
      </c>
      <c r="C83" s="3">
        <f t="shared" si="18"/>
        <v>1574737.0772871873</v>
      </c>
      <c r="D83" s="4">
        <f t="shared" si="12"/>
        <v>126060.36434249999</v>
      </c>
      <c r="E83">
        <f t="shared" si="13"/>
        <v>2.0176975860151419E-2</v>
      </c>
      <c r="F83" s="3">
        <f t="shared" si="14"/>
        <v>31773.431994508977</v>
      </c>
      <c r="G83" s="3">
        <f t="shared" si="15"/>
        <v>202940.09933587949</v>
      </c>
      <c r="H83" s="3">
        <f t="shared" si="15"/>
        <v>1096674.8325195429</v>
      </c>
      <c r="I83">
        <f t="shared" si="16"/>
        <v>2422.3970745338238</v>
      </c>
      <c r="J83">
        <f t="shared" si="17"/>
        <v>22109.229689730077</v>
      </c>
      <c r="K83">
        <f t="shared" si="17"/>
        <v>150705.45869214906</v>
      </c>
    </row>
    <row r="84" spans="1:11" x14ac:dyDescent="0.3">
      <c r="A84">
        <v>81</v>
      </c>
      <c r="B84">
        <v>8.593481E-2</v>
      </c>
      <c r="C84" s="3">
        <f t="shared" si="18"/>
        <v>1448676.7129446873</v>
      </c>
      <c r="D84" s="4">
        <f t="shared" si="12"/>
        <v>124491.75807832624</v>
      </c>
      <c r="E84">
        <f t="shared" si="13"/>
        <v>1.9216167485858495E-2</v>
      </c>
      <c r="F84" s="3">
        <f t="shared" si="14"/>
        <v>27838.014348808061</v>
      </c>
      <c r="G84" s="3">
        <f t="shared" si="15"/>
        <v>171166.66734137054</v>
      </c>
      <c r="H84" s="3">
        <f t="shared" si="15"/>
        <v>893734.73318366299</v>
      </c>
      <c r="I84">
        <f t="shared" si="16"/>
        <v>2278.3375941353279</v>
      </c>
      <c r="J84">
        <f t="shared" si="17"/>
        <v>19686.83261519625</v>
      </c>
      <c r="K84">
        <f t="shared" si="17"/>
        <v>128596.22900241891</v>
      </c>
    </row>
    <row r="85" spans="1:11" x14ac:dyDescent="0.3">
      <c r="A85">
        <v>82</v>
      </c>
      <c r="B85">
        <v>9.2223979999999997E-2</v>
      </c>
      <c r="C85" s="3">
        <f t="shared" si="18"/>
        <v>1324184.9548663611</v>
      </c>
      <c r="D85" s="4">
        <f t="shared" si="12"/>
        <v>122121.60679389606</v>
      </c>
      <c r="E85">
        <f t="shared" si="13"/>
        <v>1.8301111891293805E-2</v>
      </c>
      <c r="F85" s="3">
        <f t="shared" si="14"/>
        <v>24234.05702377711</v>
      </c>
      <c r="G85" s="3">
        <f t="shared" si="15"/>
        <v>143328.65299256242</v>
      </c>
      <c r="H85" s="3">
        <f t="shared" si="15"/>
        <v>722568.06584229262</v>
      </c>
      <c r="I85">
        <f t="shared" si="16"/>
        <v>2128.5344669330261</v>
      </c>
      <c r="J85">
        <f t="shared" si="17"/>
        <v>17408.49502106092</v>
      </c>
      <c r="K85">
        <f t="shared" si="17"/>
        <v>108909.39638722266</v>
      </c>
    </row>
    <row r="86" spans="1:11" x14ac:dyDescent="0.3">
      <c r="A86">
        <v>83</v>
      </c>
      <c r="B86">
        <v>9.8858440000000006E-2</v>
      </c>
      <c r="C86" s="3">
        <f t="shared" si="18"/>
        <v>1202063.348072465</v>
      </c>
      <c r="D86" s="4">
        <f t="shared" si="12"/>
        <v>118834.10737162083</v>
      </c>
      <c r="E86">
        <f t="shared" si="13"/>
        <v>1.7429630372660765E-2</v>
      </c>
      <c r="F86" s="3">
        <f t="shared" si="14"/>
        <v>20951.519841426125</v>
      </c>
      <c r="G86" s="3">
        <f t="shared" si="15"/>
        <v>119094.5959687854</v>
      </c>
      <c r="H86" s="3">
        <f t="shared" si="15"/>
        <v>579239.41284973023</v>
      </c>
      <c r="I86">
        <f t="shared" si="16"/>
        <v>1972.6043496689836</v>
      </c>
      <c r="J86">
        <f t="shared" si="17"/>
        <v>15279.960554127894</v>
      </c>
      <c r="K86">
        <f t="shared" si="17"/>
        <v>91500.90136616175</v>
      </c>
    </row>
    <row r="87" spans="1:11" x14ac:dyDescent="0.3">
      <c r="A87">
        <v>84</v>
      </c>
      <c r="B87">
        <v>0.10576600999999999</v>
      </c>
      <c r="C87" s="3">
        <f t="shared" si="18"/>
        <v>1083229.2407008442</v>
      </c>
      <c r="D87" s="4">
        <f t="shared" si="12"/>
        <v>114568.8347042579</v>
      </c>
      <c r="E87">
        <f t="shared" si="13"/>
        <v>1.6599647973962631E-2</v>
      </c>
      <c r="F87" s="3">
        <f t="shared" si="14"/>
        <v>17981.224070736847</v>
      </c>
      <c r="G87" s="3">
        <f t="shared" si="15"/>
        <v>98143.07612735928</v>
      </c>
      <c r="H87" s="3">
        <f t="shared" si="15"/>
        <v>460144.81688094494</v>
      </c>
      <c r="I87">
        <f t="shared" si="16"/>
        <v>1811.2403094074227</v>
      </c>
      <c r="J87">
        <f t="shared" si="17"/>
        <v>13307.356204458911</v>
      </c>
      <c r="K87">
        <f t="shared" si="17"/>
        <v>76220.940812033848</v>
      </c>
    </row>
    <row r="88" spans="1:11" x14ac:dyDescent="0.3">
      <c r="A88">
        <v>85</v>
      </c>
      <c r="B88">
        <v>0.11424258</v>
      </c>
      <c r="C88" s="3">
        <f t="shared" si="18"/>
        <v>968660.40599658631</v>
      </c>
      <c r="D88" s="4">
        <f t="shared" si="12"/>
        <v>110662.26392489753</v>
      </c>
      <c r="E88">
        <f t="shared" si="13"/>
        <v>1.5809188546631076E-2</v>
      </c>
      <c r="F88" s="3">
        <f t="shared" si="14"/>
        <v>15313.734996056241</v>
      </c>
      <c r="G88" s="3">
        <f t="shared" si="15"/>
        <v>80161.852056622418</v>
      </c>
      <c r="H88" s="3">
        <f t="shared" si="15"/>
        <v>362001.74075358571</v>
      </c>
      <c r="I88">
        <f t="shared" si="16"/>
        <v>1666.1719956054815</v>
      </c>
      <c r="J88">
        <f t="shared" si="17"/>
        <v>11496.115895051489</v>
      </c>
      <c r="K88">
        <f t="shared" si="17"/>
        <v>62913.584607574972</v>
      </c>
    </row>
    <row r="89" spans="1:11" x14ac:dyDescent="0.3">
      <c r="A89">
        <v>86</v>
      </c>
      <c r="B89">
        <v>0.121534</v>
      </c>
      <c r="C89" s="3">
        <f t="shared" si="18"/>
        <v>857998.14207168878</v>
      </c>
      <c r="D89" s="4">
        <f t="shared" si="12"/>
        <v>104275.94619854062</v>
      </c>
      <c r="E89">
        <f t="shared" si="13"/>
        <v>1.5056370044410549E-2</v>
      </c>
      <c r="F89" s="3">
        <f t="shared" si="14"/>
        <v>12918.337524448081</v>
      </c>
      <c r="G89" s="3">
        <f t="shared" si="15"/>
        <v>64848.117060566175</v>
      </c>
      <c r="H89" s="3">
        <f t="shared" si="15"/>
        <v>281839.88869696326</v>
      </c>
      <c r="I89">
        <f t="shared" si="16"/>
        <v>1495.2545073297838</v>
      </c>
      <c r="J89">
        <f t="shared" si="17"/>
        <v>9829.943899446007</v>
      </c>
      <c r="K89">
        <f t="shared" si="17"/>
        <v>51417.468712523478</v>
      </c>
    </row>
    <row r="90" spans="1:11" x14ac:dyDescent="0.3">
      <c r="A90">
        <v>87</v>
      </c>
      <c r="B90">
        <v>0.12964851999999999</v>
      </c>
      <c r="C90" s="3">
        <f t="shared" si="18"/>
        <v>753722.19587314816</v>
      </c>
      <c r="D90" s="4">
        <f t="shared" si="12"/>
        <v>97718.967186103691</v>
      </c>
      <c r="E90">
        <f t="shared" si="13"/>
        <v>1.4339400042295759E-2</v>
      </c>
      <c r="F90" s="3">
        <f t="shared" si="14"/>
        <v>10807.924087382673</v>
      </c>
      <c r="G90" s="3">
        <f t="shared" si="15"/>
        <v>51929.779536118091</v>
      </c>
      <c r="H90" s="3">
        <f t="shared" si="15"/>
        <v>216991.77163639717</v>
      </c>
      <c r="I90">
        <f t="shared" si="16"/>
        <v>1334.5060592395364</v>
      </c>
      <c r="J90">
        <f t="shared" si="17"/>
        <v>8334.6893921162246</v>
      </c>
      <c r="K90">
        <f t="shared" si="17"/>
        <v>41587.524813077471</v>
      </c>
    </row>
    <row r="91" spans="1:11" x14ac:dyDescent="0.3">
      <c r="A91">
        <v>88</v>
      </c>
      <c r="B91">
        <v>0.13990696</v>
      </c>
      <c r="C91" s="3">
        <f t="shared" si="18"/>
        <v>656003.22868704447</v>
      </c>
      <c r="D91" s="4">
        <f t="shared" si="12"/>
        <v>91779.417475789203</v>
      </c>
      <c r="E91">
        <f t="shared" si="13"/>
        <v>1.3656571468853105E-2</v>
      </c>
      <c r="F91" s="3">
        <f t="shared" si="14"/>
        <v>8958.7549763630104</v>
      </c>
      <c r="G91" s="3">
        <f t="shared" si="15"/>
        <v>41121.855448735419</v>
      </c>
      <c r="H91" s="3">
        <f t="shared" si="15"/>
        <v>165061.99210027908</v>
      </c>
      <c r="I91">
        <f t="shared" si="16"/>
        <v>1193.7068325026867</v>
      </c>
      <c r="J91">
        <f t="shared" si="17"/>
        <v>7000.1833328766861</v>
      </c>
      <c r="K91">
        <f t="shared" si="17"/>
        <v>33252.835420961259</v>
      </c>
    </row>
    <row r="92" spans="1:11" x14ac:dyDescent="0.3">
      <c r="A92">
        <v>89</v>
      </c>
      <c r="B92">
        <v>0.15006501</v>
      </c>
      <c r="C92" s="3">
        <f t="shared" si="18"/>
        <v>564223.81121125526</v>
      </c>
      <c r="D92" s="4">
        <f t="shared" si="12"/>
        <v>84670.251871655171</v>
      </c>
      <c r="E92">
        <f t="shared" si="13"/>
        <v>1.3006258541764862E-2</v>
      </c>
      <c r="F92" s="3">
        <f t="shared" si="14"/>
        <v>7338.4407640335139</v>
      </c>
      <c r="G92" s="3">
        <f t="shared" si="15"/>
        <v>32163.100472372418</v>
      </c>
      <c r="H92" s="3">
        <f t="shared" si="15"/>
        <v>123940.13665154364</v>
      </c>
      <c r="I92">
        <f t="shared" si="16"/>
        <v>1048.8030348943782</v>
      </c>
      <c r="J92">
        <f t="shared" si="17"/>
        <v>5806.4765003739994</v>
      </c>
      <c r="K92">
        <f t="shared" si="17"/>
        <v>26252.65208808456</v>
      </c>
    </row>
    <row r="93" spans="1:11" x14ac:dyDescent="0.3">
      <c r="A93">
        <v>90</v>
      </c>
      <c r="B93">
        <v>0.16293381000000001</v>
      </c>
      <c r="C93" s="3">
        <f t="shared" si="18"/>
        <v>479553.55933960009</v>
      </c>
      <c r="D93" s="4">
        <f t="shared" si="12"/>
        <v>78135.48852226208</v>
      </c>
      <c r="E93">
        <f t="shared" si="13"/>
        <v>1.2386912896918914E-2</v>
      </c>
      <c r="F93" s="3">
        <f t="shared" si="14"/>
        <v>5940.188168947062</v>
      </c>
      <c r="G93" s="3">
        <f t="shared" si="15"/>
        <v>24824.659708338906</v>
      </c>
      <c r="H93" s="3">
        <f t="shared" si="15"/>
        <v>91777.036179171235</v>
      </c>
      <c r="I93">
        <f t="shared" si="16"/>
        <v>921.76903855568366</v>
      </c>
      <c r="J93">
        <f t="shared" si="17"/>
        <v>4757.673465479621</v>
      </c>
      <c r="K93">
        <f t="shared" si="17"/>
        <v>20446.175587710561</v>
      </c>
    </row>
    <row r="94" spans="1:11" x14ac:dyDescent="0.3">
      <c r="A94">
        <v>91</v>
      </c>
      <c r="B94">
        <v>0.17478192000000001</v>
      </c>
      <c r="C94" s="3">
        <f t="shared" si="18"/>
        <v>401418.07081733801</v>
      </c>
      <c r="D94" s="4">
        <f t="shared" si="12"/>
        <v>70160.621140150295</v>
      </c>
      <c r="E94">
        <f t="shared" si="13"/>
        <v>1.1797059901827537E-2</v>
      </c>
      <c r="F94" s="3">
        <f t="shared" si="14"/>
        <v>4735.5530271081843</v>
      </c>
      <c r="G94" s="3">
        <f t="shared" si="15"/>
        <v>18884.471539391841</v>
      </c>
      <c r="H94" s="3">
        <f t="shared" si="15"/>
        <v>66952.376470832329</v>
      </c>
      <c r="I94">
        <f t="shared" si="16"/>
        <v>788.27528603788619</v>
      </c>
      <c r="J94">
        <f t="shared" si="17"/>
        <v>3835.904426923938</v>
      </c>
      <c r="K94">
        <f t="shared" si="17"/>
        <v>15688.502122230942</v>
      </c>
    </row>
    <row r="95" spans="1:11" x14ac:dyDescent="0.3">
      <c r="A95">
        <v>92</v>
      </c>
      <c r="B95">
        <v>0.18747762000000001</v>
      </c>
      <c r="C95" s="3">
        <f t="shared" si="18"/>
        <v>331257.44967718772</v>
      </c>
      <c r="D95" s="4">
        <f t="shared" si="12"/>
        <v>62103.358272748941</v>
      </c>
      <c r="E95">
        <f t="shared" si="13"/>
        <v>1.1235295144597654E-2</v>
      </c>
      <c r="F95" s="3">
        <f t="shared" si="14"/>
        <v>3721.7752159699089</v>
      </c>
      <c r="G95" s="3">
        <f t="shared" si="15"/>
        <v>14148.918512283659</v>
      </c>
      <c r="H95" s="3">
        <f t="shared" si="15"/>
        <v>48067.904931440477</v>
      </c>
      <c r="I95">
        <f t="shared" si="16"/>
        <v>664.52339015716632</v>
      </c>
      <c r="J95">
        <f t="shared" si="17"/>
        <v>3047.629140886052</v>
      </c>
      <c r="K95">
        <f t="shared" si="17"/>
        <v>11852.597695307004</v>
      </c>
    </row>
    <row r="96" spans="1:11" x14ac:dyDescent="0.3">
      <c r="A96">
        <v>93</v>
      </c>
      <c r="B96">
        <v>0.20106320999999999</v>
      </c>
      <c r="C96" s="3">
        <f t="shared" si="18"/>
        <v>269154.09140443878</v>
      </c>
      <c r="D96" s="4">
        <f t="shared" si="12"/>
        <v>54116.98560240987</v>
      </c>
      <c r="E96">
        <f t="shared" si="13"/>
        <v>1.0700281090093003E-2</v>
      </c>
      <c r="F96" s="3">
        <f t="shared" si="14"/>
        <v>2880.0244345760798</v>
      </c>
      <c r="G96" s="3">
        <f t="shared" si="15"/>
        <v>10427.14329631375</v>
      </c>
      <c r="H96" s="3">
        <f t="shared" si="15"/>
        <v>33918.986419156819</v>
      </c>
      <c r="I96">
        <f t="shared" si="16"/>
        <v>551.49234066123961</v>
      </c>
      <c r="J96">
        <f t="shared" si="17"/>
        <v>2383.1057507288856</v>
      </c>
      <c r="K96">
        <f t="shared" si="17"/>
        <v>8804.9685544209533</v>
      </c>
    </row>
    <row r="97" spans="1:11" x14ac:dyDescent="0.3">
      <c r="A97">
        <v>94</v>
      </c>
      <c r="B97">
        <v>0.21557973999999999</v>
      </c>
      <c r="C97" s="3">
        <f t="shared" si="18"/>
        <v>215037.10580202891</v>
      </c>
      <c r="D97" s="4">
        <f t="shared" si="12"/>
        <v>46357.643359153881</v>
      </c>
      <c r="E97">
        <f t="shared" si="13"/>
        <v>1.0190743895326669E-2</v>
      </c>
      <c r="F97" s="3">
        <f t="shared" si="14"/>
        <v>2191.3880732207413</v>
      </c>
      <c r="G97" s="3">
        <f t="shared" si="15"/>
        <v>7547.1188617376665</v>
      </c>
      <c r="H97" s="3">
        <f t="shared" si="15"/>
        <v>23491.843122843064</v>
      </c>
      <c r="I97">
        <f t="shared" si="16"/>
        <v>449.92273434669363</v>
      </c>
      <c r="J97">
        <f t="shared" si="17"/>
        <v>1831.6134100676459</v>
      </c>
      <c r="K97">
        <f t="shared" si="17"/>
        <v>6421.8628036920636</v>
      </c>
    </row>
    <row r="98" spans="1:11" x14ac:dyDescent="0.3">
      <c r="A98">
        <v>95</v>
      </c>
      <c r="B98">
        <v>0.23386841999999999</v>
      </c>
      <c r="C98" s="3">
        <f t="shared" si="18"/>
        <v>168679.46244287502</v>
      </c>
      <c r="D98" s="4">
        <f t="shared" si="12"/>
        <v>39448.799367964515</v>
      </c>
      <c r="E98">
        <f t="shared" si="13"/>
        <v>9.7054703765015893E-3</v>
      </c>
      <c r="F98" s="3">
        <f t="shared" si="14"/>
        <v>1637.1135258635359</v>
      </c>
      <c r="G98" s="3">
        <f t="shared" si="15"/>
        <v>5355.7307885169257</v>
      </c>
      <c r="H98" s="3">
        <f t="shared" si="15"/>
        <v>15944.724261105399</v>
      </c>
      <c r="I98">
        <f t="shared" si="16"/>
        <v>364.63728919460402</v>
      </c>
      <c r="J98">
        <f t="shared" si="17"/>
        <v>1381.6906757209524</v>
      </c>
      <c r="K98">
        <f t="shared" si="17"/>
        <v>4590.2493936244182</v>
      </c>
    </row>
    <row r="99" spans="1:11" x14ac:dyDescent="0.3">
      <c r="A99">
        <v>96</v>
      </c>
      <c r="B99">
        <v>0.25056103000000002</v>
      </c>
      <c r="C99" s="3">
        <f t="shared" si="18"/>
        <v>129230.66307491051</v>
      </c>
      <c r="D99" s="4">
        <f t="shared" si="12"/>
        <v>32380.168047632556</v>
      </c>
      <c r="E99">
        <f t="shared" si="13"/>
        <v>9.2433051204777045E-3</v>
      </c>
      <c r="F99" s="3">
        <f t="shared" si="14"/>
        <v>1194.5184497230493</v>
      </c>
      <c r="G99" s="3">
        <f t="shared" si="15"/>
        <v>3718.6172626533912</v>
      </c>
      <c r="H99" s="3">
        <f t="shared" si="15"/>
        <v>10588.993472588474</v>
      </c>
      <c r="I99">
        <f t="shared" si="16"/>
        <v>285.04740296820052</v>
      </c>
      <c r="J99">
        <f t="shared" si="17"/>
        <v>1017.053386526348</v>
      </c>
      <c r="K99">
        <f t="shared" si="17"/>
        <v>3208.558717903466</v>
      </c>
    </row>
    <row r="100" spans="1:11" x14ac:dyDescent="0.3">
      <c r="A100">
        <v>97</v>
      </c>
      <c r="B100">
        <v>0.26830449000000001</v>
      </c>
      <c r="C100" s="3">
        <f t="shared" si="18"/>
        <v>96850.495027277953</v>
      </c>
      <c r="D100" s="4">
        <f t="shared" si="12"/>
        <v>25985.422674541347</v>
      </c>
      <c r="E100">
        <f t="shared" si="13"/>
        <v>8.8031477337882896E-3</v>
      </c>
      <c r="F100" s="3">
        <f t="shared" si="14"/>
        <v>852.58921581565596</v>
      </c>
      <c r="G100" s="3">
        <f t="shared" si="15"/>
        <v>2524.0988129303419</v>
      </c>
      <c r="H100" s="3">
        <f t="shared" si="15"/>
        <v>6870.3762099350806</v>
      </c>
      <c r="I100">
        <f t="shared" si="16"/>
        <v>217.86049021801855</v>
      </c>
      <c r="J100">
        <f t="shared" si="17"/>
        <v>732.00598355814748</v>
      </c>
      <c r="K100">
        <f t="shared" si="17"/>
        <v>2191.5053313771177</v>
      </c>
    </row>
    <row r="101" spans="1:11" x14ac:dyDescent="0.3">
      <c r="A101">
        <v>98</v>
      </c>
      <c r="B101">
        <v>0.28712620999999999</v>
      </c>
      <c r="C101" s="3">
        <f t="shared" si="18"/>
        <v>70865.072352736606</v>
      </c>
      <c r="D101" s="4">
        <f t="shared" si="12"/>
        <v>20347.219646017045</v>
      </c>
      <c r="E101">
        <f t="shared" si="13"/>
        <v>8.3839502226555132E-3</v>
      </c>
      <c r="F101" s="3">
        <f t="shared" si="14"/>
        <v>594.12923913022507</v>
      </c>
      <c r="G101" s="3">
        <f t="shared" si="15"/>
        <v>1671.5095971146859</v>
      </c>
      <c r="H101" s="3">
        <f t="shared" si="15"/>
        <v>4346.2773970047383</v>
      </c>
      <c r="I101">
        <f t="shared" si="16"/>
        <v>162.46673969680501</v>
      </c>
      <c r="J101">
        <f t="shared" si="17"/>
        <v>514.14549334012918</v>
      </c>
      <c r="K101">
        <f t="shared" si="17"/>
        <v>1459.4993478189699</v>
      </c>
    </row>
    <row r="102" spans="1:11" x14ac:dyDescent="0.3">
      <c r="A102">
        <v>99</v>
      </c>
      <c r="B102">
        <v>0.30704705999999998</v>
      </c>
      <c r="C102" s="3">
        <f t="shared" si="18"/>
        <v>50517.852706719561</v>
      </c>
      <c r="D102" s="4">
        <f t="shared" si="12"/>
        <v>15511.358151111279</v>
      </c>
      <c r="E102">
        <f t="shared" si="13"/>
        <v>7.984714497767156E-3</v>
      </c>
      <c r="F102" s="3">
        <f t="shared" si="14"/>
        <v>403.37063090340945</v>
      </c>
      <c r="G102" s="3">
        <f t="shared" si="15"/>
        <v>1077.3803579844607</v>
      </c>
      <c r="H102" s="3">
        <f t="shared" si="15"/>
        <v>2674.7677998900535</v>
      </c>
      <c r="I102">
        <f t="shared" si="16"/>
        <v>117.95596791355901</v>
      </c>
      <c r="J102">
        <f t="shared" si="17"/>
        <v>351.67875364332417</v>
      </c>
      <c r="K102">
        <f t="shared" si="17"/>
        <v>945.35385447884119</v>
      </c>
    </row>
    <row r="103" spans="1:11" x14ac:dyDescent="0.3">
      <c r="A103">
        <v>100</v>
      </c>
      <c r="B103">
        <v>0.33204660000000003</v>
      </c>
      <c r="C103" s="3">
        <f t="shared" si="18"/>
        <v>35006.494555608282</v>
      </c>
      <c r="D103" s="4">
        <f t="shared" si="12"/>
        <v>11623.787495108241</v>
      </c>
      <c r="E103">
        <f t="shared" si="13"/>
        <v>7.6044899978734808E-3</v>
      </c>
      <c r="F103" s="3">
        <f t="shared" si="14"/>
        <v>266.20653770873565</v>
      </c>
      <c r="G103" s="3">
        <f t="shared" si="15"/>
        <v>674.00972708105132</v>
      </c>
      <c r="H103" s="3">
        <f t="shared" si="15"/>
        <v>1597.3874419055921</v>
      </c>
      <c r="I103">
        <f t="shared" si="16"/>
        <v>84.183786422816624</v>
      </c>
      <c r="J103">
        <f t="shared" si="17"/>
        <v>233.72278572976512</v>
      </c>
      <c r="K103">
        <f t="shared" si="17"/>
        <v>593.67510083551713</v>
      </c>
    </row>
    <row r="104" spans="1:11" x14ac:dyDescent="0.3">
      <c r="A104">
        <v>101</v>
      </c>
      <c r="B104">
        <v>0.35446258000000003</v>
      </c>
      <c r="C104" s="3">
        <f t="shared" si="18"/>
        <v>23382.707060500041</v>
      </c>
      <c r="D104" s="4">
        <f t="shared" si="12"/>
        <v>8288.2946720490618</v>
      </c>
      <c r="E104">
        <f t="shared" si="13"/>
        <v>7.2423714265461717E-3</v>
      </c>
      <c r="F104" s="3">
        <f t="shared" si="14"/>
        <v>169.34624949026491</v>
      </c>
      <c r="G104" s="3">
        <f t="shared" si="15"/>
        <v>407.80318937231556</v>
      </c>
      <c r="H104" s="3">
        <f t="shared" si="15"/>
        <v>923.37771482454116</v>
      </c>
      <c r="I104">
        <f t="shared" si="16"/>
        <v>57.168484292993334</v>
      </c>
      <c r="J104">
        <f t="shared" si="17"/>
        <v>149.53899930694848</v>
      </c>
      <c r="K104">
        <f t="shared" si="17"/>
        <v>359.95231510575184</v>
      </c>
    </row>
    <row r="105" spans="1:11" x14ac:dyDescent="0.3">
      <c r="A105">
        <v>102</v>
      </c>
      <c r="B105">
        <v>0.37799926</v>
      </c>
      <c r="C105" s="3">
        <f t="shared" si="18"/>
        <v>15094.412388450979</v>
      </c>
      <c r="D105" s="4">
        <f t="shared" si="12"/>
        <v>5705.6767129693017</v>
      </c>
      <c r="E105">
        <f t="shared" si="13"/>
        <v>6.8974965967106405E-3</v>
      </c>
      <c r="F105" s="3">
        <f t="shared" si="14"/>
        <v>104.11365807868756</v>
      </c>
      <c r="G105" s="3">
        <f t="shared" si="15"/>
        <v>238.45693988205068</v>
      </c>
      <c r="H105" s="3">
        <f t="shared" si="15"/>
        <v>515.57452545222566</v>
      </c>
      <c r="I105">
        <f t="shared" si="16"/>
        <v>37.480843532987528</v>
      </c>
      <c r="J105">
        <f t="shared" si="17"/>
        <v>92.370515013955142</v>
      </c>
      <c r="K105">
        <f t="shared" si="17"/>
        <v>210.41331579880335</v>
      </c>
    </row>
    <row r="106" spans="1:11" x14ac:dyDescent="0.3">
      <c r="A106">
        <v>103</v>
      </c>
      <c r="B106">
        <v>0.40263525</v>
      </c>
      <c r="C106" s="3">
        <f t="shared" si="18"/>
        <v>9388.7356754816774</v>
      </c>
      <c r="D106" s="4">
        <f t="shared" si="12"/>
        <v>3780.2359358814838</v>
      </c>
      <c r="E106">
        <f t="shared" si="13"/>
        <v>6.5690443778196562E-3</v>
      </c>
      <c r="F106" s="3">
        <f t="shared" si="14"/>
        <v>61.675021303857747</v>
      </c>
      <c r="G106" s="3">
        <f t="shared" si="15"/>
        <v>134.34328180336311</v>
      </c>
      <c r="H106" s="3">
        <f t="shared" si="15"/>
        <v>277.11758557017487</v>
      </c>
      <c r="I106">
        <f t="shared" si="16"/>
        <v>23.650035829937227</v>
      </c>
      <c r="J106">
        <f t="shared" si="17"/>
        <v>54.889671480967607</v>
      </c>
      <c r="K106">
        <f t="shared" si="17"/>
        <v>118.04280078484821</v>
      </c>
    </row>
    <row r="107" spans="1:11" x14ac:dyDescent="0.3">
      <c r="A107">
        <v>104</v>
      </c>
      <c r="B107">
        <v>0.42833401999999998</v>
      </c>
      <c r="C107" s="3">
        <f t="shared" si="18"/>
        <v>5608.4997396001936</v>
      </c>
      <c r="D107" s="4">
        <f t="shared" si="12"/>
        <v>2402.3112396319038</v>
      </c>
      <c r="E107">
        <f t="shared" si="13"/>
        <v>6.2562327407806248E-3</v>
      </c>
      <c r="F107" s="3">
        <f t="shared" si="14"/>
        <v>35.088079697546341</v>
      </c>
      <c r="G107" s="3">
        <f t="shared" si="15"/>
        <v>72.668260499505379</v>
      </c>
      <c r="H107" s="3">
        <f t="shared" si="15"/>
        <v>142.77430376681181</v>
      </c>
      <c r="I107">
        <f t="shared" si="16"/>
        <v>14.313731648505149</v>
      </c>
      <c r="J107">
        <f t="shared" si="17"/>
        <v>31.239635651030383</v>
      </c>
      <c r="K107">
        <f t="shared" si="17"/>
        <v>63.153129303880604</v>
      </c>
    </row>
    <row r="108" spans="1:11" x14ac:dyDescent="0.3">
      <c r="A108">
        <v>105</v>
      </c>
      <c r="B108">
        <v>0.45504204999999998</v>
      </c>
      <c r="C108" s="3">
        <f t="shared" si="18"/>
        <v>3206.1884999682898</v>
      </c>
      <c r="D108" s="4">
        <f t="shared" si="12"/>
        <v>1458.9505877119955</v>
      </c>
      <c r="E108">
        <f t="shared" si="13"/>
        <v>5.9583168959815476E-3</v>
      </c>
      <c r="F108" s="3">
        <f t="shared" si="14"/>
        <v>19.103487111062794</v>
      </c>
      <c r="G108" s="3">
        <f t="shared" si="15"/>
        <v>37.580180801959038</v>
      </c>
      <c r="H108" s="3">
        <f t="shared" si="15"/>
        <v>70.106043267306418</v>
      </c>
      <c r="I108">
        <f t="shared" si="16"/>
        <v>8.2789427973015144</v>
      </c>
      <c r="J108">
        <f t="shared" si="17"/>
        <v>16.925904002525229</v>
      </c>
      <c r="K108">
        <f t="shared" si="17"/>
        <v>31.913493652850221</v>
      </c>
    </row>
    <row r="109" spans="1:11" x14ac:dyDescent="0.3">
      <c r="A109">
        <v>106</v>
      </c>
      <c r="B109">
        <v>0.48268701000000003</v>
      </c>
      <c r="C109" s="3">
        <f t="shared" si="18"/>
        <v>1747.2379122562943</v>
      </c>
      <c r="D109" s="4">
        <f t="shared" si="12"/>
        <v>843.36904362563314</v>
      </c>
      <c r="E109">
        <f t="shared" si="13"/>
        <v>5.6745875199824252E-3</v>
      </c>
      <c r="F109" s="3">
        <f t="shared" si="14"/>
        <v>9.914854451329715</v>
      </c>
      <c r="G109" s="3">
        <f t="shared" si="15"/>
        <v>18.476693690896237</v>
      </c>
      <c r="H109" s="3">
        <f t="shared" si="15"/>
        <v>32.525862465347387</v>
      </c>
      <c r="I109">
        <f t="shared" si="16"/>
        <v>4.5578775711405068</v>
      </c>
      <c r="J109">
        <f t="shared" si="17"/>
        <v>8.6469612052237164</v>
      </c>
      <c r="K109">
        <f t="shared" si="17"/>
        <v>14.987589650324994</v>
      </c>
    </row>
    <row r="110" spans="1:11" x14ac:dyDescent="0.3">
      <c r="A110">
        <v>107</v>
      </c>
      <c r="B110">
        <v>0.51117625</v>
      </c>
      <c r="C110" s="3">
        <f t="shared" si="18"/>
        <v>903.86886863066115</v>
      </c>
      <c r="D110" s="4">
        <f t="shared" si="12"/>
        <v>462.03629875836401</v>
      </c>
      <c r="E110">
        <f t="shared" si="13"/>
        <v>5.4043690666499295E-3</v>
      </c>
      <c r="F110" s="3">
        <f t="shared" si="14"/>
        <v>4.8848409539354138</v>
      </c>
      <c r="G110" s="3">
        <f t="shared" si="15"/>
        <v>8.5618392395665239</v>
      </c>
      <c r="H110" s="3">
        <f t="shared" si="15"/>
        <v>14.049168774451148</v>
      </c>
      <c r="I110">
        <f t="shared" si="16"/>
        <v>2.3781092196944074</v>
      </c>
      <c r="J110">
        <f t="shared" si="17"/>
        <v>4.0890836340832095</v>
      </c>
      <c r="K110">
        <f t="shared" si="17"/>
        <v>6.3406284451012764</v>
      </c>
    </row>
    <row r="111" spans="1:11" x14ac:dyDescent="0.3">
      <c r="A111">
        <v>108</v>
      </c>
      <c r="B111">
        <v>0.54039543999999995</v>
      </c>
      <c r="C111" s="3">
        <f t="shared" si="18"/>
        <v>441.83256987229714</v>
      </c>
      <c r="D111" s="4">
        <f t="shared" si="12"/>
        <v>238.76430600247073</v>
      </c>
      <c r="E111">
        <f t="shared" si="13"/>
        <v>5.1470181587142186E-3</v>
      </c>
      <c r="F111" s="3">
        <f t="shared" si="14"/>
        <v>2.2741202602440822</v>
      </c>
      <c r="G111" s="3">
        <f t="shared" si="15"/>
        <v>3.6769982856311096</v>
      </c>
      <c r="H111" s="3">
        <f t="shared" si="15"/>
        <v>5.4873295348846245</v>
      </c>
      <c r="I111">
        <f t="shared" si="16"/>
        <v>1.1704040177595381</v>
      </c>
      <c r="J111">
        <f t="shared" si="17"/>
        <v>1.7109744143888026</v>
      </c>
      <c r="K111">
        <f t="shared" si="17"/>
        <v>2.2515448110180669</v>
      </c>
    </row>
    <row r="112" spans="1:11" x14ac:dyDescent="0.3">
      <c r="A112">
        <v>109</v>
      </c>
      <c r="B112">
        <v>0.57020773000000002</v>
      </c>
      <c r="C112" s="3">
        <f t="shared" si="18"/>
        <v>203.06826386982641</v>
      </c>
      <c r="D112" s="4">
        <f t="shared" si="12"/>
        <v>115.79109377625474</v>
      </c>
      <c r="E112">
        <f t="shared" si="13"/>
        <v>4.9019220559183025E-3</v>
      </c>
      <c r="F112" s="3">
        <f t="shared" si="14"/>
        <v>0.9954248015205398</v>
      </c>
      <c r="G112" s="3">
        <f t="shared" si="15"/>
        <v>1.4028780253870277</v>
      </c>
      <c r="H112" s="3">
        <f t="shared" si="15"/>
        <v>1.8103312492535155</v>
      </c>
      <c r="I112">
        <f t="shared" si="16"/>
        <v>0.54057039662926443</v>
      </c>
      <c r="J112">
        <f t="shared" si="17"/>
        <v>0.54057039662926443</v>
      </c>
      <c r="K112">
        <f t="shared" si="17"/>
        <v>0.54057039662926443</v>
      </c>
    </row>
    <row r="113" spans="1:11" x14ac:dyDescent="0.3">
      <c r="A113">
        <v>110</v>
      </c>
      <c r="B113">
        <v>1</v>
      </c>
      <c r="C113" s="3">
        <f t="shared" si="18"/>
        <v>87.277170093571669</v>
      </c>
      <c r="D113" s="4">
        <f t="shared" si="12"/>
        <v>87.277170093571669</v>
      </c>
      <c r="E113">
        <f t="shared" si="13"/>
        <v>4.6684971961126693E-3</v>
      </c>
      <c r="F113" s="3">
        <f t="shared" si="14"/>
        <v>0.40745322386648786</v>
      </c>
      <c r="G113" s="3">
        <f t="shared" si="15"/>
        <v>0.40745322386648786</v>
      </c>
      <c r="H113" s="3">
        <f t="shared" si="15"/>
        <v>0.40745322386648786</v>
      </c>
      <c r="I113">
        <f t="shared" si="16"/>
        <v>0</v>
      </c>
      <c r="J113">
        <f t="shared" si="17"/>
        <v>0</v>
      </c>
      <c r="K113">
        <f t="shared" si="1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AFD5-14F1-489B-A3AD-72CADEA7396B}">
  <dimension ref="C4:H10"/>
  <sheetViews>
    <sheetView tabSelected="1" workbookViewId="0">
      <selection activeCell="G8" sqref="G8"/>
    </sheetView>
  </sheetViews>
  <sheetFormatPr baseColWidth="10" defaultRowHeight="14.4" x14ac:dyDescent="0.3"/>
  <sheetData>
    <row r="4" spans="3:8" x14ac:dyDescent="0.3">
      <c r="C4">
        <v>8.3736897649772463E-2</v>
      </c>
      <c r="D4">
        <v>0.16666826339403223</v>
      </c>
      <c r="E4" s="13">
        <f>D4-C4</f>
        <v>8.2931365744259772E-2</v>
      </c>
    </row>
    <row r="5" spans="3:8" x14ac:dyDescent="0.3">
      <c r="C5">
        <v>0.25221815079574944</v>
      </c>
      <c r="D5">
        <v>0.3835750490937036</v>
      </c>
      <c r="E5" s="13">
        <f t="shared" ref="E5:E6" si="0">D5-C5</f>
        <v>0.13135689829795416</v>
      </c>
    </row>
    <row r="6" spans="3:8" x14ac:dyDescent="0.3">
      <c r="C6">
        <v>0.48655258154330844</v>
      </c>
      <c r="D6">
        <v>0.59464570470378797</v>
      </c>
      <c r="E6" s="13">
        <f t="shared" si="0"/>
        <v>0.10809312316047953</v>
      </c>
    </row>
    <row r="7" spans="3:8" x14ac:dyDescent="0.3">
      <c r="D7" s="12"/>
    </row>
    <row r="8" spans="3:8" x14ac:dyDescent="0.3">
      <c r="C8" s="12">
        <v>15.56</v>
      </c>
      <c r="D8" s="12">
        <v>11.9</v>
      </c>
      <c r="E8" s="10">
        <f>C8-D8</f>
        <v>3.66</v>
      </c>
      <c r="G8" s="5">
        <f>C8/D8</f>
        <v>1.3075630252100841</v>
      </c>
      <c r="H8">
        <f>D8*G8</f>
        <v>15.56</v>
      </c>
    </row>
    <row r="9" spans="3:8" x14ac:dyDescent="0.3">
      <c r="C9" s="12">
        <v>12.13</v>
      </c>
      <c r="D9" s="12">
        <v>9.58</v>
      </c>
      <c r="E9" s="10">
        <f t="shared" ref="E9:E10" si="1">C9-D9</f>
        <v>2.5500000000000007</v>
      </c>
    </row>
    <row r="10" spans="3:8" x14ac:dyDescent="0.3">
      <c r="C10" s="12">
        <v>3.1</v>
      </c>
      <c r="D10" s="12">
        <v>3.18</v>
      </c>
      <c r="E10" s="10">
        <f t="shared" si="1"/>
        <v>-8.0000000000000071E-2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Cuevas</dc:creator>
  <cp:lastModifiedBy>Juan Pablo Cuevas Barraza</cp:lastModifiedBy>
  <dcterms:created xsi:type="dcterms:W3CDTF">2015-06-05T18:19:34Z</dcterms:created>
  <dcterms:modified xsi:type="dcterms:W3CDTF">2025-12-09T19:41:16Z</dcterms:modified>
</cp:coreProperties>
</file>