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ccl0-my.sharepoint.com/personal/juanp_cuevas_uc_cl/Documents/2025-2/EYP2605/Tarea Final/"/>
    </mc:Choice>
  </mc:AlternateContent>
  <xr:revisionPtr revIDLastSave="124" documentId="11_22891400C4862B1973C2932FEE8867FB5A7B9AEC" xr6:coauthVersionLast="47" xr6:coauthVersionMax="47" xr10:uidLastSave="{B1F5AEE1-94F9-4766-94AE-44D0AF80DDDD}"/>
  <bookViews>
    <workbookView xWindow="-108" yWindow="-108" windowWidth="23256" windowHeight="12456" activeTab="2" xr2:uid="{00000000-000D-0000-FFFF-FFFF00000000}"/>
  </bookViews>
  <sheets>
    <sheet name="Sheet 1" sheetId="1" r:id="rId1"/>
    <sheet name="Hoja1" sheetId="2" r:id="rId2"/>
    <sheet name="Hoja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1" i="3" l="1"/>
  <c r="P39" i="3"/>
  <c r="P32" i="3"/>
  <c r="O26" i="3"/>
  <c r="O25" i="3"/>
  <c r="O24" i="3"/>
  <c r="P19" i="3"/>
  <c r="P17" i="3"/>
  <c r="N9" i="3"/>
  <c r="O9" i="3" s="1"/>
  <c r="O11" i="3"/>
  <c r="O10" i="3"/>
  <c r="O8" i="3"/>
  <c r="N37" i="3" l="1"/>
  <c r="N30" i="3"/>
  <c r="N22" i="3"/>
  <c r="N15" i="3"/>
  <c r="N6" i="3"/>
  <c r="F4" i="3" l="1"/>
  <c r="F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3" i="3"/>
  <c r="C4" i="3"/>
  <c r="D3" i="3" s="1"/>
  <c r="I3" i="3" s="1"/>
  <c r="C5" i="3"/>
  <c r="A1" i="3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C5" i="2"/>
  <c r="C6" i="2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D3" i="2"/>
  <c r="C4" i="2"/>
  <c r="D4" i="3" l="1"/>
  <c r="I4" i="3" s="1"/>
  <c r="C6" i="3"/>
  <c r="F5" i="3"/>
  <c r="C7" i="3" l="1"/>
  <c r="F6" i="3"/>
  <c r="D6" i="3"/>
  <c r="I6" i="3" s="1"/>
  <c r="D5" i="3"/>
  <c r="I5" i="3" s="1"/>
  <c r="C8" i="3" l="1"/>
  <c r="D7" i="3"/>
  <c r="I7" i="3" s="1"/>
  <c r="F7" i="3"/>
  <c r="C9" i="3" l="1"/>
  <c r="F8" i="3"/>
  <c r="D8" i="3"/>
  <c r="I8" i="3" s="1"/>
  <c r="C10" i="3" l="1"/>
  <c r="F9" i="3"/>
  <c r="D9" i="3"/>
  <c r="I9" i="3" s="1"/>
  <c r="C11" i="3" l="1"/>
  <c r="F10" i="3"/>
  <c r="D10" i="3"/>
  <c r="I10" i="3" s="1"/>
  <c r="C12" i="3" l="1"/>
  <c r="F11" i="3"/>
  <c r="D11" i="3"/>
  <c r="I11" i="3" s="1"/>
  <c r="C13" i="3" l="1"/>
  <c r="D12" i="3"/>
  <c r="I12" i="3" s="1"/>
  <c r="F12" i="3"/>
  <c r="C14" i="3" l="1"/>
  <c r="F13" i="3"/>
  <c r="C15" i="3" l="1"/>
  <c r="D14" i="3"/>
  <c r="I14" i="3" s="1"/>
  <c r="F14" i="3"/>
  <c r="D13" i="3"/>
  <c r="I13" i="3" s="1"/>
  <c r="C16" i="3" l="1"/>
  <c r="F15" i="3"/>
  <c r="C17" i="3" l="1"/>
  <c r="F16" i="3"/>
  <c r="D16" i="3"/>
  <c r="I16" i="3" s="1"/>
  <c r="D15" i="3"/>
  <c r="I15" i="3" s="1"/>
  <c r="C18" i="3" l="1"/>
  <c r="D17" i="3" s="1"/>
  <c r="I17" i="3" s="1"/>
  <c r="F17" i="3"/>
  <c r="C19" i="3" l="1"/>
  <c r="F18" i="3"/>
  <c r="C20" i="3" l="1"/>
  <c r="D19" i="3"/>
  <c r="I19" i="3" s="1"/>
  <c r="F19" i="3"/>
  <c r="D18" i="3"/>
  <c r="I18" i="3" s="1"/>
  <c r="C21" i="3" l="1"/>
  <c r="F20" i="3"/>
  <c r="D20" i="3"/>
  <c r="I20" i="3" s="1"/>
  <c r="C22" i="3" l="1"/>
  <c r="F21" i="3"/>
  <c r="D21" i="3"/>
  <c r="I21" i="3" s="1"/>
  <c r="C23" i="3" l="1"/>
  <c r="F22" i="3"/>
  <c r="C24" i="3" l="1"/>
  <c r="F23" i="3"/>
  <c r="D23" i="3"/>
  <c r="I23" i="3" s="1"/>
  <c r="D22" i="3"/>
  <c r="I22" i="3" s="1"/>
  <c r="C25" i="3" l="1"/>
  <c r="F24" i="3"/>
  <c r="D24" i="3"/>
  <c r="I24" i="3" s="1"/>
  <c r="C26" i="3" l="1"/>
  <c r="F25" i="3"/>
  <c r="C27" i="3" l="1"/>
  <c r="D26" i="3"/>
  <c r="I26" i="3" s="1"/>
  <c r="F26" i="3"/>
  <c r="D25" i="3"/>
  <c r="I25" i="3" s="1"/>
  <c r="C28" i="3" l="1"/>
  <c r="D27" i="3"/>
  <c r="I27" i="3" s="1"/>
  <c r="F27" i="3"/>
  <c r="C29" i="3" l="1"/>
  <c r="F28" i="3"/>
  <c r="D28" i="3"/>
  <c r="I28" i="3" s="1"/>
  <c r="O32" i="3" l="1"/>
  <c r="N24" i="3"/>
  <c r="C30" i="3"/>
  <c r="F29" i="3"/>
  <c r="D29" i="3"/>
  <c r="I29" i="3" s="1"/>
  <c r="C31" i="3" l="1"/>
  <c r="F30" i="3"/>
  <c r="C32" i="3" l="1"/>
  <c r="F31" i="3"/>
  <c r="D31" i="3"/>
  <c r="I31" i="3" s="1"/>
  <c r="D30" i="3"/>
  <c r="I30" i="3" s="1"/>
  <c r="C33" i="3" l="1"/>
  <c r="F32" i="3"/>
  <c r="D32" i="3"/>
  <c r="I32" i="3" s="1"/>
  <c r="C34" i="3" l="1"/>
  <c r="F33" i="3"/>
  <c r="D33" i="3"/>
  <c r="I33" i="3" s="1"/>
  <c r="C35" i="3" l="1"/>
  <c r="D34" i="3"/>
  <c r="I34" i="3" s="1"/>
  <c r="F34" i="3"/>
  <c r="C36" i="3" l="1"/>
  <c r="F35" i="3"/>
  <c r="C37" i="3" l="1"/>
  <c r="D36" i="3"/>
  <c r="I36" i="3" s="1"/>
  <c r="F36" i="3"/>
  <c r="O39" i="3"/>
  <c r="D35" i="3"/>
  <c r="I35" i="3" s="1"/>
  <c r="C38" i="3" l="1"/>
  <c r="D37" i="3"/>
  <c r="I37" i="3" s="1"/>
  <c r="F37" i="3"/>
  <c r="C39" i="3" l="1"/>
  <c r="D38" i="3" s="1"/>
  <c r="I38" i="3" s="1"/>
  <c r="F38" i="3"/>
  <c r="C40" i="3" l="1"/>
  <c r="D39" i="3"/>
  <c r="I39" i="3" s="1"/>
  <c r="F39" i="3"/>
  <c r="C41" i="3" l="1"/>
  <c r="F40" i="3"/>
  <c r="D40" i="3"/>
  <c r="I40" i="3" s="1"/>
  <c r="C42" i="3" l="1"/>
  <c r="F41" i="3"/>
  <c r="D41" i="3"/>
  <c r="I41" i="3" s="1"/>
  <c r="N8" i="3" l="1"/>
  <c r="C43" i="3"/>
  <c r="F42" i="3"/>
  <c r="D42" i="3"/>
  <c r="I42" i="3" s="1"/>
  <c r="C44" i="3" l="1"/>
  <c r="D43" i="3"/>
  <c r="I43" i="3" s="1"/>
  <c r="F43" i="3"/>
  <c r="N25" i="3" l="1"/>
  <c r="C45" i="3"/>
  <c r="F44" i="3"/>
  <c r="D44" i="3"/>
  <c r="I44" i="3" s="1"/>
  <c r="C46" i="3" l="1"/>
  <c r="F45" i="3"/>
  <c r="D45" i="3"/>
  <c r="I45" i="3" s="1"/>
  <c r="C47" i="3" l="1"/>
  <c r="F46" i="3"/>
  <c r="D46" i="3"/>
  <c r="I46" i="3" s="1"/>
  <c r="C48" i="3" l="1"/>
  <c r="F47" i="3"/>
  <c r="D47" i="3"/>
  <c r="I47" i="3" s="1"/>
  <c r="C49" i="3" l="1"/>
  <c r="D48" i="3"/>
  <c r="I48" i="3" s="1"/>
  <c r="F48" i="3"/>
  <c r="N17" i="3" l="1"/>
  <c r="C50" i="3"/>
  <c r="F49" i="3"/>
  <c r="D49" i="3"/>
  <c r="I49" i="3" s="1"/>
  <c r="C51" i="3" l="1"/>
  <c r="D50" i="3" s="1"/>
  <c r="I50" i="3" s="1"/>
  <c r="F50" i="3"/>
  <c r="C52" i="3" l="1"/>
  <c r="D51" i="3"/>
  <c r="I51" i="3" s="1"/>
  <c r="F51" i="3"/>
  <c r="C53" i="3" l="1"/>
  <c r="F52" i="3"/>
  <c r="D52" i="3"/>
  <c r="I52" i="3" s="1"/>
  <c r="C54" i="3" l="1"/>
  <c r="F53" i="3"/>
  <c r="C55" i="3" l="1"/>
  <c r="D54" i="3"/>
  <c r="I54" i="3" s="1"/>
  <c r="F54" i="3"/>
  <c r="O33" i="3"/>
  <c r="O40" i="3"/>
  <c r="D53" i="3"/>
  <c r="I53" i="3" s="1"/>
  <c r="C56" i="3" l="1"/>
  <c r="D55" i="3"/>
  <c r="I55" i="3" s="1"/>
  <c r="F55" i="3"/>
  <c r="C57" i="3" l="1"/>
  <c r="F56" i="3"/>
  <c r="D56" i="3"/>
  <c r="I56" i="3" s="1"/>
  <c r="C58" i="3" l="1"/>
  <c r="F57" i="3"/>
  <c r="D57" i="3"/>
  <c r="I57" i="3" s="1"/>
  <c r="C59" i="3" l="1"/>
  <c r="F58" i="3"/>
  <c r="D58" i="3"/>
  <c r="I58" i="3" s="1"/>
  <c r="C60" i="3" l="1"/>
  <c r="F59" i="3"/>
  <c r="D59" i="3"/>
  <c r="I59" i="3" s="1"/>
  <c r="C61" i="3" l="1"/>
  <c r="F60" i="3"/>
  <c r="D60" i="3"/>
  <c r="I60" i="3" s="1"/>
  <c r="C62" i="3" l="1"/>
  <c r="F61" i="3"/>
  <c r="D61" i="3"/>
  <c r="I61" i="3" s="1"/>
  <c r="C63" i="3" l="1"/>
  <c r="D62" i="3"/>
  <c r="I62" i="3" s="1"/>
  <c r="F62" i="3"/>
  <c r="C64" i="3" l="1"/>
  <c r="D63" i="3"/>
  <c r="I63" i="3" s="1"/>
  <c r="F63" i="3"/>
  <c r="N18" i="3" l="1"/>
  <c r="C65" i="3"/>
  <c r="F64" i="3"/>
  <c r="C66" i="3" l="1"/>
  <c r="F65" i="3"/>
  <c r="D65" i="3"/>
  <c r="I65" i="3" s="1"/>
  <c r="D64" i="3"/>
  <c r="I64" i="3" s="1"/>
  <c r="N10" i="3" l="1"/>
  <c r="C67" i="3"/>
  <c r="F66" i="3"/>
  <c r="D66" i="3"/>
  <c r="I66" i="3" s="1"/>
  <c r="C68" i="3" l="1"/>
  <c r="F67" i="3"/>
  <c r="D67" i="3"/>
  <c r="I67" i="3" s="1"/>
  <c r="C69" i="3" l="1"/>
  <c r="F68" i="3"/>
  <c r="D68" i="3"/>
  <c r="I68" i="3" s="1"/>
  <c r="C70" i="3" l="1"/>
  <c r="F69" i="3"/>
  <c r="D69" i="3"/>
  <c r="I69" i="3" s="1"/>
  <c r="C71" i="3" l="1"/>
  <c r="D70" i="3"/>
  <c r="I70" i="3" s="1"/>
  <c r="F70" i="3"/>
  <c r="C72" i="3" l="1"/>
  <c r="D71" i="3"/>
  <c r="I71" i="3" s="1"/>
  <c r="F71" i="3"/>
  <c r="O41" i="3" l="1"/>
  <c r="C73" i="3"/>
  <c r="F72" i="3"/>
  <c r="D72" i="3"/>
  <c r="I72" i="3" s="1"/>
  <c r="C74" i="3" l="1"/>
  <c r="F73" i="3"/>
  <c r="D73" i="3"/>
  <c r="I73" i="3" s="1"/>
  <c r="C75" i="3" l="1"/>
  <c r="D74" i="3"/>
  <c r="I74" i="3" s="1"/>
  <c r="F74" i="3"/>
  <c r="N11" i="3"/>
  <c r="N26" i="3"/>
  <c r="C76" i="3" l="1"/>
  <c r="F75" i="3"/>
  <c r="C77" i="3" l="1"/>
  <c r="D76" i="3"/>
  <c r="I76" i="3" s="1"/>
  <c r="F76" i="3"/>
  <c r="D75" i="3"/>
  <c r="I75" i="3" s="1"/>
  <c r="C78" i="3" l="1"/>
  <c r="F77" i="3"/>
  <c r="C79" i="3" l="1"/>
  <c r="F78" i="3"/>
  <c r="D78" i="3"/>
  <c r="I78" i="3" s="1"/>
  <c r="D77" i="3"/>
  <c r="I77" i="3" s="1"/>
  <c r="O34" i="3" l="1"/>
  <c r="C80" i="3"/>
  <c r="F79" i="3"/>
  <c r="D79" i="3"/>
  <c r="I79" i="3" s="1"/>
  <c r="C81" i="3" l="1"/>
  <c r="F80" i="3"/>
  <c r="D80" i="3"/>
  <c r="I80" i="3" s="1"/>
  <c r="C82" i="3" l="1"/>
  <c r="F81" i="3"/>
  <c r="D81" i="3"/>
  <c r="I81" i="3" s="1"/>
  <c r="C83" i="3" l="1"/>
  <c r="F82" i="3"/>
  <c r="D82" i="3"/>
  <c r="I82" i="3" s="1"/>
  <c r="C84" i="3" l="1"/>
  <c r="F83" i="3"/>
  <c r="D83" i="3"/>
  <c r="I83" i="3" s="1"/>
  <c r="C85" i="3" l="1"/>
  <c r="D84" i="3"/>
  <c r="I84" i="3" s="1"/>
  <c r="F84" i="3"/>
  <c r="C86" i="3" l="1"/>
  <c r="D85" i="3"/>
  <c r="I85" i="3" s="1"/>
  <c r="F85" i="3"/>
  <c r="C87" i="3" l="1"/>
  <c r="D86" i="3"/>
  <c r="I86" i="3" s="1"/>
  <c r="F86" i="3"/>
  <c r="C88" i="3" l="1"/>
  <c r="D87" i="3"/>
  <c r="I87" i="3" s="1"/>
  <c r="F87" i="3"/>
  <c r="C89" i="3" l="1"/>
  <c r="F88" i="3"/>
  <c r="D88" i="3"/>
  <c r="I88" i="3" s="1"/>
  <c r="C90" i="3" l="1"/>
  <c r="D89" i="3"/>
  <c r="I89" i="3" s="1"/>
  <c r="F89" i="3"/>
  <c r="C91" i="3" l="1"/>
  <c r="D90" i="3"/>
  <c r="I90" i="3" s="1"/>
  <c r="F90" i="3"/>
  <c r="C92" i="3" l="1"/>
  <c r="D91" i="3"/>
  <c r="I91" i="3" s="1"/>
  <c r="F91" i="3"/>
  <c r="C93" i="3" l="1"/>
  <c r="F92" i="3"/>
  <c r="D92" i="3"/>
  <c r="I92" i="3" s="1"/>
  <c r="C94" i="3" l="1"/>
  <c r="F93" i="3"/>
  <c r="D93" i="3"/>
  <c r="I93" i="3" s="1"/>
  <c r="N19" i="3" l="1"/>
  <c r="C95" i="3"/>
  <c r="D94" i="3"/>
  <c r="I94" i="3" s="1"/>
  <c r="F94" i="3"/>
  <c r="C96" i="3" l="1"/>
  <c r="D95" i="3"/>
  <c r="I95" i="3" s="1"/>
  <c r="F95" i="3"/>
  <c r="C97" i="3" l="1"/>
  <c r="D96" i="3"/>
  <c r="I96" i="3" s="1"/>
  <c r="F96" i="3"/>
  <c r="C98" i="3" l="1"/>
  <c r="F97" i="3"/>
  <c r="D97" i="3"/>
  <c r="I97" i="3" s="1"/>
  <c r="C99" i="3" l="1"/>
  <c r="D98" i="3"/>
  <c r="I98" i="3" s="1"/>
  <c r="F98" i="3"/>
  <c r="C100" i="3" l="1"/>
  <c r="D99" i="3"/>
  <c r="I99" i="3" s="1"/>
  <c r="F99" i="3"/>
  <c r="C101" i="3" l="1"/>
  <c r="F100" i="3"/>
  <c r="D100" i="3"/>
  <c r="I100" i="3" s="1"/>
  <c r="C102" i="3" l="1"/>
  <c r="F101" i="3"/>
  <c r="D101" i="3"/>
  <c r="I101" i="3" s="1"/>
  <c r="C103" i="3" l="1"/>
  <c r="F102" i="3"/>
  <c r="D102" i="3"/>
  <c r="I102" i="3" s="1"/>
  <c r="C104" i="3" l="1"/>
  <c r="F103" i="3"/>
  <c r="D103" i="3"/>
  <c r="I103" i="3" s="1"/>
  <c r="C105" i="3" l="1"/>
  <c r="F104" i="3"/>
  <c r="D104" i="3"/>
  <c r="I104" i="3" s="1"/>
  <c r="C106" i="3" l="1"/>
  <c r="F105" i="3"/>
  <c r="D105" i="3"/>
  <c r="I105" i="3" s="1"/>
  <c r="C107" i="3" l="1"/>
  <c r="F106" i="3"/>
  <c r="D106" i="3"/>
  <c r="I106" i="3" s="1"/>
  <c r="C108" i="3" l="1"/>
  <c r="D107" i="3" s="1"/>
  <c r="I107" i="3" s="1"/>
  <c r="F107" i="3"/>
  <c r="C109" i="3" l="1"/>
  <c r="F108" i="3"/>
  <c r="D108" i="3"/>
  <c r="I108" i="3" s="1"/>
  <c r="C110" i="3" l="1"/>
  <c r="D109" i="3" s="1"/>
  <c r="I109" i="3" s="1"/>
  <c r="F109" i="3"/>
  <c r="C111" i="3" l="1"/>
  <c r="D110" i="3"/>
  <c r="I110" i="3" s="1"/>
  <c r="F110" i="3"/>
  <c r="C112" i="3" l="1"/>
  <c r="D111" i="3"/>
  <c r="I111" i="3" s="1"/>
  <c r="F111" i="3"/>
  <c r="C113" i="3" l="1"/>
  <c r="D112" i="3"/>
  <c r="I112" i="3" s="1"/>
  <c r="F112" i="3"/>
  <c r="D113" i="3" l="1"/>
  <c r="I113" i="3" s="1"/>
  <c r="F113" i="3"/>
  <c r="G109" i="3" s="1"/>
  <c r="G108" i="3"/>
  <c r="G111" i="3"/>
  <c r="J113" i="3" l="1"/>
  <c r="K113" i="3" s="1"/>
  <c r="J4" i="3"/>
  <c r="J3" i="3"/>
  <c r="J6" i="3"/>
  <c r="J5" i="3"/>
  <c r="J7" i="3"/>
  <c r="J10" i="3"/>
  <c r="J8" i="3"/>
  <c r="J9" i="3"/>
  <c r="J11" i="3"/>
  <c r="J14" i="3"/>
  <c r="J12" i="3"/>
  <c r="J13" i="3"/>
  <c r="J16" i="3"/>
  <c r="J15" i="3"/>
  <c r="J19" i="3"/>
  <c r="J17" i="3"/>
  <c r="J20" i="3"/>
  <c r="J18" i="3"/>
  <c r="J23" i="3"/>
  <c r="J21" i="3"/>
  <c r="J22" i="3"/>
  <c r="J24" i="3"/>
  <c r="J26" i="3"/>
  <c r="J27" i="3"/>
  <c r="J29" i="3"/>
  <c r="J28" i="3"/>
  <c r="J25" i="3"/>
  <c r="J31" i="3"/>
  <c r="J32" i="3"/>
  <c r="J33" i="3"/>
  <c r="J30" i="3"/>
  <c r="J34" i="3"/>
  <c r="J36" i="3"/>
  <c r="J38" i="3"/>
  <c r="J39" i="3"/>
  <c r="J35" i="3"/>
  <c r="J37" i="3"/>
  <c r="J40" i="3"/>
  <c r="J41" i="3"/>
  <c r="J43" i="3"/>
  <c r="J44" i="3"/>
  <c r="J42" i="3"/>
  <c r="J45" i="3"/>
  <c r="J47" i="3"/>
  <c r="J46" i="3"/>
  <c r="J48" i="3"/>
  <c r="J49" i="3"/>
  <c r="J54" i="3"/>
  <c r="J50" i="3"/>
  <c r="J51" i="3"/>
  <c r="J52" i="3"/>
  <c r="J55" i="3"/>
  <c r="J56" i="3"/>
  <c r="J53" i="3"/>
  <c r="J57" i="3"/>
  <c r="J59" i="3"/>
  <c r="J58" i="3"/>
  <c r="J61" i="3"/>
  <c r="K61" i="3" s="1"/>
  <c r="J60" i="3"/>
  <c r="J62" i="3"/>
  <c r="J65" i="3"/>
  <c r="J63" i="3"/>
  <c r="J64" i="3"/>
  <c r="J66" i="3"/>
  <c r="J67" i="3"/>
  <c r="J70" i="3"/>
  <c r="J69" i="3"/>
  <c r="J68" i="3"/>
  <c r="J73" i="3"/>
  <c r="J71" i="3"/>
  <c r="K71" i="3" s="1"/>
  <c r="J76" i="3"/>
  <c r="J72" i="3"/>
  <c r="J74" i="3"/>
  <c r="J77" i="3"/>
  <c r="J79" i="3"/>
  <c r="J75" i="3"/>
  <c r="J78" i="3"/>
  <c r="J80" i="3"/>
  <c r="J81" i="3"/>
  <c r="J82" i="3"/>
  <c r="J83" i="3"/>
  <c r="J84" i="3"/>
  <c r="K84" i="3" s="1"/>
  <c r="J86" i="3"/>
  <c r="J85" i="3"/>
  <c r="J87" i="3"/>
  <c r="J88" i="3"/>
  <c r="J90" i="3"/>
  <c r="J89" i="3"/>
  <c r="J92" i="3"/>
  <c r="J91" i="3"/>
  <c r="J93" i="3"/>
  <c r="J95" i="3"/>
  <c r="J94" i="3"/>
  <c r="J99" i="3"/>
  <c r="K99" i="3" s="1"/>
  <c r="J96" i="3"/>
  <c r="J98" i="3"/>
  <c r="J97" i="3"/>
  <c r="J102" i="3"/>
  <c r="J101" i="3"/>
  <c r="J100" i="3"/>
  <c r="J104" i="3"/>
  <c r="J105" i="3"/>
  <c r="J103" i="3"/>
  <c r="J106" i="3"/>
  <c r="J110" i="3"/>
  <c r="J111" i="3"/>
  <c r="K111" i="3" s="1"/>
  <c r="J108" i="3"/>
  <c r="G113" i="3"/>
  <c r="H113" i="3" s="1"/>
  <c r="G7" i="3"/>
  <c r="G3" i="3"/>
  <c r="G6" i="3"/>
  <c r="G5" i="3"/>
  <c r="G4" i="3"/>
  <c r="G9" i="3"/>
  <c r="G10" i="3"/>
  <c r="G8" i="3"/>
  <c r="G12" i="3"/>
  <c r="G11" i="3"/>
  <c r="G13" i="3"/>
  <c r="G15" i="3"/>
  <c r="G16" i="3"/>
  <c r="G14" i="3"/>
  <c r="G17" i="3"/>
  <c r="G21" i="3"/>
  <c r="G18" i="3"/>
  <c r="G20" i="3"/>
  <c r="G19" i="3"/>
  <c r="G23" i="3"/>
  <c r="G24" i="3"/>
  <c r="G25" i="3"/>
  <c r="G22" i="3"/>
  <c r="G26" i="3"/>
  <c r="G27" i="3"/>
  <c r="G33" i="3"/>
  <c r="G28" i="3"/>
  <c r="G29" i="3"/>
  <c r="G31" i="3"/>
  <c r="G30" i="3"/>
  <c r="G34" i="3"/>
  <c r="G32" i="3"/>
  <c r="G35" i="3"/>
  <c r="G36" i="3"/>
  <c r="G39" i="3"/>
  <c r="G37" i="3"/>
  <c r="G38" i="3"/>
  <c r="G43" i="3"/>
  <c r="G40" i="3"/>
  <c r="G41" i="3"/>
  <c r="G42" i="3"/>
  <c r="G44" i="3"/>
  <c r="G48" i="3"/>
  <c r="G45" i="3"/>
  <c r="G47" i="3"/>
  <c r="G46" i="3"/>
  <c r="G50" i="3"/>
  <c r="G49" i="3"/>
  <c r="G52" i="3"/>
  <c r="G51" i="3"/>
  <c r="G53" i="3"/>
  <c r="G54" i="3"/>
  <c r="G56" i="3"/>
  <c r="G55" i="3"/>
  <c r="G57" i="3"/>
  <c r="G59" i="3"/>
  <c r="H59" i="3" s="1"/>
  <c r="G58" i="3"/>
  <c r="G60" i="3"/>
  <c r="G62" i="3"/>
  <c r="G63" i="3"/>
  <c r="G61" i="3"/>
  <c r="G65" i="3"/>
  <c r="G64" i="3"/>
  <c r="G66" i="3"/>
  <c r="G67" i="3"/>
  <c r="G68" i="3"/>
  <c r="G69" i="3"/>
  <c r="G70" i="3"/>
  <c r="H70" i="3" s="1"/>
  <c r="G72" i="3"/>
  <c r="G71" i="3"/>
  <c r="G73" i="3"/>
  <c r="G74" i="3"/>
  <c r="G75" i="3"/>
  <c r="G77" i="3"/>
  <c r="G76" i="3"/>
  <c r="G81" i="3"/>
  <c r="G79" i="3"/>
  <c r="G78" i="3"/>
  <c r="G83" i="3"/>
  <c r="G80" i="3"/>
  <c r="G82" i="3"/>
  <c r="G85" i="3"/>
  <c r="G84" i="3"/>
  <c r="G86" i="3"/>
  <c r="G88" i="3"/>
  <c r="G87" i="3"/>
  <c r="G89" i="3"/>
  <c r="G90" i="3"/>
  <c r="G91" i="3"/>
  <c r="G92" i="3"/>
  <c r="G93" i="3"/>
  <c r="G96" i="3"/>
  <c r="H96" i="3" s="1"/>
  <c r="G94" i="3"/>
  <c r="G95" i="3"/>
  <c r="G98" i="3"/>
  <c r="G100" i="3"/>
  <c r="G99" i="3"/>
  <c r="G97" i="3"/>
  <c r="G105" i="3"/>
  <c r="G101" i="3"/>
  <c r="G103" i="3"/>
  <c r="G102" i="3"/>
  <c r="G106" i="3"/>
  <c r="H106" i="3" s="1"/>
  <c r="G104" i="3"/>
  <c r="H104" i="3" s="1"/>
  <c r="G110" i="3"/>
  <c r="H108" i="3" s="1"/>
  <c r="J109" i="3"/>
  <c r="J107" i="3"/>
  <c r="J112" i="3"/>
  <c r="K112" i="3" s="1"/>
  <c r="G107" i="3"/>
  <c r="G112" i="3"/>
  <c r="H112" i="3" s="1"/>
  <c r="H48" i="3" l="1"/>
  <c r="K58" i="3"/>
  <c r="H55" i="3"/>
  <c r="K59" i="3"/>
  <c r="H42" i="3"/>
  <c r="K57" i="3"/>
  <c r="N33" i="3"/>
  <c r="P33" i="3" s="1"/>
  <c r="H54" i="3"/>
  <c r="K105" i="3"/>
  <c r="H53" i="3"/>
  <c r="K44" i="3"/>
  <c r="K32" i="3"/>
  <c r="K20" i="3"/>
  <c r="K7" i="3"/>
  <c r="H80" i="3"/>
  <c r="H32" i="3"/>
  <c r="K38" i="3"/>
  <c r="H83" i="3"/>
  <c r="H19" i="3"/>
  <c r="K83" i="3"/>
  <c r="K22" i="3"/>
  <c r="H92" i="3"/>
  <c r="H30" i="3"/>
  <c r="K82" i="3"/>
  <c r="K9" i="3"/>
  <c r="N34" i="3"/>
  <c r="P34" i="3" s="1"/>
  <c r="H79" i="3"/>
  <c r="H31" i="3"/>
  <c r="K93" i="3"/>
  <c r="K30" i="3"/>
  <c r="H90" i="3"/>
  <c r="H41" i="3"/>
  <c r="K80" i="3"/>
  <c r="K10" i="3"/>
  <c r="O18" i="3"/>
  <c r="P18" i="3" s="1"/>
  <c r="H64" i="3"/>
  <c r="H40" i="3"/>
  <c r="K104" i="3"/>
  <c r="K92" i="3"/>
  <c r="H51" i="3"/>
  <c r="H3" i="3"/>
  <c r="K55" i="3"/>
  <c r="K43" i="3"/>
  <c r="H107" i="3"/>
  <c r="H61" i="3"/>
  <c r="H16" i="3"/>
  <c r="K79" i="3"/>
  <c r="K52" i="3"/>
  <c r="K41" i="3"/>
  <c r="H86" i="3"/>
  <c r="H37" i="3"/>
  <c r="K102" i="3"/>
  <c r="K88" i="3"/>
  <c r="K77" i="3"/>
  <c r="K63" i="3"/>
  <c r="K51" i="3"/>
  <c r="K40" i="3"/>
  <c r="K28" i="3"/>
  <c r="K15" i="3"/>
  <c r="K3" i="3"/>
  <c r="H8" i="3"/>
  <c r="K14" i="3"/>
  <c r="H69" i="3"/>
  <c r="H10" i="3"/>
  <c r="K73" i="3"/>
  <c r="K36" i="3"/>
  <c r="H68" i="3"/>
  <c r="H9" i="3"/>
  <c r="K68" i="3"/>
  <c r="K21" i="3"/>
  <c r="H67" i="3"/>
  <c r="H18" i="3"/>
  <c r="K69" i="3"/>
  <c r="K23" i="3"/>
  <c r="N41" i="3"/>
  <c r="H81" i="3"/>
  <c r="H5" i="3"/>
  <c r="K53" i="3"/>
  <c r="K33" i="3"/>
  <c r="H105" i="3"/>
  <c r="H28" i="3"/>
  <c r="K56" i="3"/>
  <c r="H87" i="3"/>
  <c r="H33" i="3"/>
  <c r="K89" i="3"/>
  <c r="K5" i="3"/>
  <c r="H75" i="3"/>
  <c r="H27" i="3"/>
  <c r="K90" i="3"/>
  <c r="K6" i="3"/>
  <c r="H74" i="3"/>
  <c r="H15" i="3"/>
  <c r="H98" i="3"/>
  <c r="H84" i="3"/>
  <c r="H73" i="3"/>
  <c r="H62" i="3"/>
  <c r="H50" i="3"/>
  <c r="H39" i="3"/>
  <c r="H22" i="3"/>
  <c r="H13" i="3"/>
  <c r="K97" i="3"/>
  <c r="K87" i="3"/>
  <c r="K74" i="3"/>
  <c r="K65" i="3"/>
  <c r="K50" i="3"/>
  <c r="K37" i="3"/>
  <c r="K29" i="3"/>
  <c r="K16" i="3"/>
  <c r="K4" i="3"/>
  <c r="N39" i="3"/>
  <c r="H45" i="3"/>
  <c r="K48" i="3"/>
  <c r="H34" i="3"/>
  <c r="K110" i="3"/>
  <c r="K46" i="3"/>
  <c r="H102" i="3"/>
  <c r="H20" i="3"/>
  <c r="K95" i="3"/>
  <c r="K47" i="3"/>
  <c r="H103" i="3"/>
  <c r="H4" i="3"/>
  <c r="K8" i="3"/>
  <c r="H66" i="3"/>
  <c r="N32" i="3"/>
  <c r="H29" i="3"/>
  <c r="K91" i="3"/>
  <c r="K42" i="3"/>
  <c r="H89" i="3"/>
  <c r="H6" i="3"/>
  <c r="K67" i="3"/>
  <c r="H77" i="3"/>
  <c r="H43" i="3"/>
  <c r="K75" i="3"/>
  <c r="K17" i="3"/>
  <c r="H88" i="3"/>
  <c r="H38" i="3"/>
  <c r="K101" i="3"/>
  <c r="K19" i="3"/>
  <c r="N40" i="3"/>
  <c r="P40" i="3" s="1"/>
  <c r="H63" i="3"/>
  <c r="O17" i="3"/>
  <c r="H49" i="3"/>
  <c r="K109" i="3"/>
  <c r="H85" i="3"/>
  <c r="H46" i="3"/>
  <c r="H36" i="3"/>
  <c r="H25" i="3"/>
  <c r="H11" i="3"/>
  <c r="H111" i="3"/>
  <c r="K98" i="3"/>
  <c r="K85" i="3"/>
  <c r="K72" i="3"/>
  <c r="K62" i="3"/>
  <c r="K54" i="3"/>
  <c r="K35" i="3"/>
  <c r="K27" i="3"/>
  <c r="K13" i="3"/>
  <c r="H23" i="3"/>
  <c r="K24" i="3"/>
  <c r="H93" i="3"/>
  <c r="H57" i="3"/>
  <c r="K94" i="3"/>
  <c r="K11" i="3"/>
  <c r="H78" i="3"/>
  <c r="H44" i="3"/>
  <c r="K106" i="3"/>
  <c r="K34" i="3"/>
  <c r="H91" i="3"/>
  <c r="H56" i="3"/>
  <c r="K103" i="3"/>
  <c r="K81" i="3"/>
  <c r="K45" i="3"/>
  <c r="H101" i="3"/>
  <c r="H21" i="3"/>
  <c r="K70" i="3"/>
  <c r="K18" i="3"/>
  <c r="H76" i="3"/>
  <c r="H17" i="3"/>
  <c r="K78" i="3"/>
  <c r="H97" i="3"/>
  <c r="H65" i="3"/>
  <c r="H14" i="3"/>
  <c r="K100" i="3"/>
  <c r="K66" i="3"/>
  <c r="K31" i="3"/>
  <c r="H99" i="3"/>
  <c r="H52" i="3"/>
  <c r="H7" i="3"/>
  <c r="K64" i="3"/>
  <c r="K25" i="3"/>
  <c r="H100" i="3"/>
  <c r="H26" i="3"/>
  <c r="K107" i="3"/>
  <c r="H95" i="3"/>
  <c r="H71" i="3"/>
  <c r="H60" i="3"/>
  <c r="H110" i="3"/>
  <c r="O19" i="3"/>
  <c r="H94" i="3"/>
  <c r="H82" i="3"/>
  <c r="H72" i="3"/>
  <c r="H58" i="3"/>
  <c r="H47" i="3"/>
  <c r="H35" i="3"/>
  <c r="H24" i="3"/>
  <c r="H12" i="3"/>
  <c r="K108" i="3"/>
  <c r="K96" i="3"/>
  <c r="K86" i="3"/>
  <c r="K76" i="3"/>
  <c r="K60" i="3"/>
  <c r="K49" i="3"/>
  <c r="K39" i="3"/>
  <c r="K26" i="3"/>
  <c r="K12" i="3"/>
  <c r="H109" i="3"/>
</calcChain>
</file>

<file path=xl/sharedStrings.xml><?xml version="1.0" encoding="utf-8"?>
<sst xmlns="http://schemas.openxmlformats.org/spreadsheetml/2006/main" count="59" uniqueCount="39">
  <si>
    <t>edad</t>
  </si>
  <si>
    <t>qx</t>
  </si>
  <si>
    <t>Origen = 2 y TM_SEXO = M</t>
  </si>
  <si>
    <t>lx</t>
  </si>
  <si>
    <t>Tabla de mortalidad</t>
  </si>
  <si>
    <t>lx+1</t>
  </si>
  <si>
    <t>dx</t>
  </si>
  <si>
    <t>px</t>
  </si>
  <si>
    <t>Tx</t>
  </si>
  <si>
    <t>Lx</t>
  </si>
  <si>
    <t>ex</t>
  </si>
  <si>
    <t>Tabla de valores de conmutación</t>
  </si>
  <si>
    <t>interés</t>
  </si>
  <si>
    <t>v^x</t>
  </si>
  <si>
    <t>Dx</t>
  </si>
  <si>
    <t>Nx</t>
  </si>
  <si>
    <t>Sx</t>
  </si>
  <si>
    <t>Cx</t>
  </si>
  <si>
    <t>Mx</t>
  </si>
  <si>
    <t>Rx</t>
  </si>
  <si>
    <t>a) Seguro Dotal Puro (70 años)</t>
  </si>
  <si>
    <t>i=</t>
  </si>
  <si>
    <t>D(x+n) / D(x)</t>
  </si>
  <si>
    <t>Edad</t>
  </si>
  <si>
    <t>D(x)</t>
  </si>
  <si>
    <t>Ex:n</t>
  </si>
  <si>
    <t>b) Renta incierta vitalicia pago vencido</t>
  </si>
  <si>
    <t xml:space="preserve">N(x+1) / D(x) </t>
  </si>
  <si>
    <t>N(x+1)</t>
  </si>
  <si>
    <t>ax</t>
  </si>
  <si>
    <t>c) Renta incierta vitalicia diferida con pago anticipado (x+n=75)</t>
  </si>
  <si>
    <t>N(x+n) /D(x)</t>
  </si>
  <si>
    <t>äx:n</t>
  </si>
  <si>
    <t>d) Renta incierta temporal con pago vencido (80 años)</t>
  </si>
  <si>
    <t>(N(x+1)-N(x+n+1))/D(x)</t>
  </si>
  <si>
    <t>N(x)</t>
  </si>
  <si>
    <t>e) Renta incierta temporal diferida (70 años y m=10)</t>
  </si>
  <si>
    <t>N(x+m)-N(x+m+n))/D(x)</t>
  </si>
  <si>
    <t>m|äx:n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</si>
</sst>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8" formatCode="_ * #,##0.00_ ;_ * \-#,##0.00_ ;_ * &quot;-&quot;?_ ;_ @_ "/>
    <numFmt numFmtId="169" formatCode="0.0000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3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169" fontId="0" fillId="0" borderId="0" xfId="0" applyNumberFormat="1"/>
    <xf numFmtId="2" fontId="0" fillId="0" borderId="0" xfId="0" applyNumberFormat="1"/>
    <xf numFmtId="43" fontId="0" fillId="0" borderId="0" xfId="0" applyNumberFormat="1"/>
    <xf numFmtId="0" fontId="2" fillId="0" borderId="0" xfId="0" applyFont="1"/>
    <xf numFmtId="3" fontId="2" fillId="0" borderId="0" xfId="0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2"/>
  <sheetViews>
    <sheetView workbookViewId="0">
      <selection activeCell="C14" sqref="C14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9.2705875172031903E-3</v>
      </c>
    </row>
    <row r="3" spans="1:2" x14ac:dyDescent="0.3">
      <c r="A3">
        <v>1</v>
      </c>
      <c r="B3">
        <v>5.6107923804468102E-3</v>
      </c>
    </row>
    <row r="4" spans="1:2" x14ac:dyDescent="0.3">
      <c r="A4">
        <v>2</v>
      </c>
      <c r="B4">
        <v>4.6183224596591304E-3</v>
      </c>
    </row>
    <row r="5" spans="1:2" x14ac:dyDescent="0.3">
      <c r="A5">
        <v>3</v>
      </c>
      <c r="B5">
        <v>4.3940966413034297E-3</v>
      </c>
    </row>
    <row r="6" spans="1:2" x14ac:dyDescent="0.3">
      <c r="A6">
        <v>4</v>
      </c>
      <c r="B6">
        <v>4.4901807518419098E-3</v>
      </c>
    </row>
    <row r="7" spans="1:2" x14ac:dyDescent="0.3">
      <c r="A7">
        <v>5</v>
      </c>
      <c r="B7">
        <v>4.74445034496451E-3</v>
      </c>
    </row>
    <row r="8" spans="1:2" x14ac:dyDescent="0.3">
      <c r="A8">
        <v>6</v>
      </c>
      <c r="B8">
        <v>5.08433962751115E-3</v>
      </c>
    </row>
    <row r="9" spans="1:2" x14ac:dyDescent="0.3">
      <c r="A9">
        <v>7</v>
      </c>
      <c r="B9">
        <v>5.4728903546926201E-3</v>
      </c>
    </row>
    <row r="10" spans="1:2" x14ac:dyDescent="0.3">
      <c r="A10">
        <v>8</v>
      </c>
      <c r="B10">
        <v>5.8895783232031504E-3</v>
      </c>
    </row>
    <row r="11" spans="1:2" x14ac:dyDescent="0.3">
      <c r="A11">
        <v>9</v>
      </c>
      <c r="B11">
        <v>6.3222873734560198E-3</v>
      </c>
    </row>
    <row r="12" spans="1:2" x14ac:dyDescent="0.3">
      <c r="A12">
        <v>10</v>
      </c>
      <c r="B12">
        <v>1.29626024706946E-3</v>
      </c>
    </row>
    <row r="13" spans="1:2" x14ac:dyDescent="0.3">
      <c r="A13">
        <v>11</v>
      </c>
      <c r="B13">
        <v>1.24021725674109E-3</v>
      </c>
    </row>
    <row r="14" spans="1:2" x14ac:dyDescent="0.3">
      <c r="A14">
        <v>12</v>
      </c>
      <c r="B14">
        <v>1.19192465517807E-3</v>
      </c>
    </row>
    <row r="15" spans="1:2" x14ac:dyDescent="0.3">
      <c r="A15">
        <v>13</v>
      </c>
      <c r="B15">
        <v>1.15009490808231E-3</v>
      </c>
    </row>
    <row r="16" spans="1:2" x14ac:dyDescent="0.3">
      <c r="A16">
        <v>14</v>
      </c>
      <c r="B16">
        <v>1.1138631833215199E-3</v>
      </c>
    </row>
    <row r="17" spans="1:2" x14ac:dyDescent="0.3">
      <c r="A17">
        <v>15</v>
      </c>
      <c r="B17">
        <v>1.08274522509788E-3</v>
      </c>
    </row>
    <row r="18" spans="1:2" x14ac:dyDescent="0.3">
      <c r="A18">
        <v>16</v>
      </c>
      <c r="B18">
        <v>1.0566416454371899E-3</v>
      </c>
    </row>
    <row r="19" spans="1:2" x14ac:dyDescent="0.3">
      <c r="A19">
        <v>17</v>
      </c>
      <c r="B19">
        <v>1.03585587509764E-3</v>
      </c>
    </row>
    <row r="20" spans="1:2" x14ac:dyDescent="0.3">
      <c r="A20">
        <v>18</v>
      </c>
      <c r="B20">
        <v>1.02109321482963E-3</v>
      </c>
    </row>
    <row r="21" spans="1:2" x14ac:dyDescent="0.3">
      <c r="A21">
        <v>19</v>
      </c>
      <c r="B21">
        <v>1.01341491649395E-3</v>
      </c>
    </row>
    <row r="22" spans="1:2" x14ac:dyDescent="0.3">
      <c r="A22">
        <v>20</v>
      </c>
      <c r="B22">
        <v>8.58419823370404E-4</v>
      </c>
    </row>
    <row r="23" spans="1:2" x14ac:dyDescent="0.3">
      <c r="A23">
        <v>21</v>
      </c>
      <c r="B23">
        <v>1.14990727214722E-3</v>
      </c>
    </row>
    <row r="24" spans="1:2" x14ac:dyDescent="0.3">
      <c r="A24">
        <v>22</v>
      </c>
      <c r="B24">
        <v>1.0093527249881E-3</v>
      </c>
    </row>
    <row r="25" spans="1:2" x14ac:dyDescent="0.3">
      <c r="A25">
        <v>23</v>
      </c>
      <c r="B25">
        <v>1.1889848554431999E-3</v>
      </c>
    </row>
    <row r="26" spans="1:2" x14ac:dyDescent="0.3">
      <c r="A26">
        <v>24</v>
      </c>
      <c r="B26">
        <v>1.1143796465444701E-3</v>
      </c>
    </row>
    <row r="27" spans="1:2" x14ac:dyDescent="0.3">
      <c r="A27">
        <v>25</v>
      </c>
      <c r="B27">
        <v>1.2039063835446401E-3</v>
      </c>
    </row>
    <row r="28" spans="1:2" x14ac:dyDescent="0.3">
      <c r="A28">
        <v>26</v>
      </c>
      <c r="B28">
        <v>1.3468361597801901E-3</v>
      </c>
    </row>
    <row r="29" spans="1:2" x14ac:dyDescent="0.3">
      <c r="A29">
        <v>27</v>
      </c>
      <c r="B29">
        <v>1.31185184996922E-3</v>
      </c>
    </row>
    <row r="30" spans="1:2" x14ac:dyDescent="0.3">
      <c r="A30">
        <v>28</v>
      </c>
      <c r="B30">
        <v>1.4041495304155699E-3</v>
      </c>
    </row>
    <row r="31" spans="1:2" x14ac:dyDescent="0.3">
      <c r="A31">
        <v>29</v>
      </c>
      <c r="B31">
        <v>1.7439878262772101E-3</v>
      </c>
    </row>
    <row r="32" spans="1:2" x14ac:dyDescent="0.3">
      <c r="A32">
        <v>30</v>
      </c>
      <c r="B32">
        <v>1.61972229399478E-3</v>
      </c>
    </row>
    <row r="33" spans="1:2" x14ac:dyDescent="0.3">
      <c r="A33">
        <v>31</v>
      </c>
      <c r="B33">
        <v>1.6951273064436899E-3</v>
      </c>
    </row>
    <row r="34" spans="1:2" x14ac:dyDescent="0.3">
      <c r="A34">
        <v>32</v>
      </c>
      <c r="B34">
        <v>1.59308870919839E-3</v>
      </c>
    </row>
    <row r="35" spans="1:2" x14ac:dyDescent="0.3">
      <c r="A35">
        <v>33</v>
      </c>
      <c r="B35">
        <v>2.0672659961486501E-3</v>
      </c>
    </row>
    <row r="36" spans="1:2" x14ac:dyDescent="0.3">
      <c r="A36">
        <v>34</v>
      </c>
      <c r="B36">
        <v>1.8920131783513199E-3</v>
      </c>
    </row>
    <row r="37" spans="1:2" x14ac:dyDescent="0.3">
      <c r="A37">
        <v>35</v>
      </c>
      <c r="B37">
        <v>1.8304153041595701E-3</v>
      </c>
    </row>
    <row r="38" spans="1:2" x14ac:dyDescent="0.3">
      <c r="A38">
        <v>36</v>
      </c>
      <c r="B38">
        <v>2.52801534789617E-3</v>
      </c>
    </row>
    <row r="39" spans="1:2" x14ac:dyDescent="0.3">
      <c r="A39">
        <v>37</v>
      </c>
      <c r="B39">
        <v>2.3754825106467401E-3</v>
      </c>
    </row>
    <row r="40" spans="1:2" x14ac:dyDescent="0.3">
      <c r="A40">
        <v>38</v>
      </c>
      <c r="B40">
        <v>2.1059662846473599E-3</v>
      </c>
    </row>
    <row r="41" spans="1:2" x14ac:dyDescent="0.3">
      <c r="A41">
        <v>39</v>
      </c>
      <c r="B41">
        <v>2.8184782174829098E-3</v>
      </c>
    </row>
    <row r="42" spans="1:2" x14ac:dyDescent="0.3">
      <c r="A42">
        <v>40</v>
      </c>
      <c r="B42">
        <v>2.7778963773961102E-3</v>
      </c>
    </row>
    <row r="43" spans="1:2" x14ac:dyDescent="0.3">
      <c r="A43">
        <v>41</v>
      </c>
      <c r="B43">
        <v>2.49384966650562E-3</v>
      </c>
    </row>
    <row r="44" spans="1:2" x14ac:dyDescent="0.3">
      <c r="A44">
        <v>42</v>
      </c>
      <c r="B44">
        <v>2.6428836565312798E-3</v>
      </c>
    </row>
    <row r="45" spans="1:2" x14ac:dyDescent="0.3">
      <c r="A45">
        <v>43</v>
      </c>
      <c r="B45">
        <v>3.0605803580988399E-3</v>
      </c>
    </row>
    <row r="46" spans="1:2" x14ac:dyDescent="0.3">
      <c r="A46">
        <v>44</v>
      </c>
      <c r="B46">
        <v>3.0566575104915002E-3</v>
      </c>
    </row>
    <row r="47" spans="1:2" x14ac:dyDescent="0.3">
      <c r="A47">
        <v>45</v>
      </c>
      <c r="B47">
        <v>3.0609970989532199E-3</v>
      </c>
    </row>
    <row r="48" spans="1:2" x14ac:dyDescent="0.3">
      <c r="A48">
        <v>46</v>
      </c>
      <c r="B48">
        <v>3.3944609462374501E-3</v>
      </c>
    </row>
    <row r="49" spans="1:2" x14ac:dyDescent="0.3">
      <c r="A49">
        <v>47</v>
      </c>
      <c r="B49">
        <v>3.6335193821968401E-3</v>
      </c>
    </row>
    <row r="50" spans="1:2" x14ac:dyDescent="0.3">
      <c r="A50">
        <v>48</v>
      </c>
      <c r="B50">
        <v>3.77769347918372E-3</v>
      </c>
    </row>
    <row r="51" spans="1:2" x14ac:dyDescent="0.3">
      <c r="A51">
        <v>49</v>
      </c>
      <c r="B51">
        <v>3.5861897558635602E-3</v>
      </c>
    </row>
    <row r="52" spans="1:2" x14ac:dyDescent="0.3">
      <c r="A52">
        <v>50</v>
      </c>
      <c r="B52">
        <v>4.1332601137460401E-3</v>
      </c>
    </row>
    <row r="53" spans="1:2" x14ac:dyDescent="0.3">
      <c r="A53">
        <v>51</v>
      </c>
      <c r="B53">
        <v>3.7740293241186901E-3</v>
      </c>
    </row>
    <row r="54" spans="1:2" x14ac:dyDescent="0.3">
      <c r="A54">
        <v>52</v>
      </c>
      <c r="B54">
        <v>4.2622734299724496E-3</v>
      </c>
    </row>
    <row r="55" spans="1:2" x14ac:dyDescent="0.3">
      <c r="A55">
        <v>53</v>
      </c>
      <c r="B55">
        <v>4.2180702543515797E-3</v>
      </c>
    </row>
    <row r="56" spans="1:2" x14ac:dyDescent="0.3">
      <c r="A56">
        <v>54</v>
      </c>
      <c r="B56">
        <v>4.8988678470139498E-3</v>
      </c>
    </row>
    <row r="57" spans="1:2" x14ac:dyDescent="0.3">
      <c r="A57">
        <v>55</v>
      </c>
      <c r="B57">
        <v>4.9262382766404799E-3</v>
      </c>
    </row>
    <row r="58" spans="1:2" x14ac:dyDescent="0.3">
      <c r="A58">
        <v>56</v>
      </c>
      <c r="B58">
        <v>5.2344987263996702E-3</v>
      </c>
    </row>
    <row r="59" spans="1:2" x14ac:dyDescent="0.3">
      <c r="A59">
        <v>57</v>
      </c>
      <c r="B59">
        <v>5.3080058345439602E-3</v>
      </c>
    </row>
    <row r="60" spans="1:2" x14ac:dyDescent="0.3">
      <c r="A60">
        <v>58</v>
      </c>
      <c r="B60">
        <v>6.0032537845932698E-3</v>
      </c>
    </row>
    <row r="61" spans="1:2" x14ac:dyDescent="0.3">
      <c r="A61">
        <v>59</v>
      </c>
      <c r="B61">
        <v>6.2305927171141303E-3</v>
      </c>
    </row>
    <row r="62" spans="1:2" x14ac:dyDescent="0.3">
      <c r="A62">
        <v>60</v>
      </c>
      <c r="B62">
        <v>7.3784713640910604E-3</v>
      </c>
    </row>
    <row r="63" spans="1:2" x14ac:dyDescent="0.3">
      <c r="A63">
        <v>61</v>
      </c>
      <c r="B63">
        <v>7.9801862016319596E-3</v>
      </c>
    </row>
    <row r="64" spans="1:2" x14ac:dyDescent="0.3">
      <c r="A64">
        <v>62</v>
      </c>
      <c r="B64">
        <v>8.4253594701529308E-3</v>
      </c>
    </row>
    <row r="65" spans="1:2" x14ac:dyDescent="0.3">
      <c r="A65">
        <v>63</v>
      </c>
      <c r="B65">
        <v>9.1418616424406903E-3</v>
      </c>
    </row>
    <row r="66" spans="1:2" x14ac:dyDescent="0.3">
      <c r="A66">
        <v>64</v>
      </c>
      <c r="B66">
        <v>1.11176155215588E-2</v>
      </c>
    </row>
    <row r="67" spans="1:2" x14ac:dyDescent="0.3">
      <c r="A67">
        <v>65</v>
      </c>
      <c r="B67">
        <v>1.6095994696186101E-2</v>
      </c>
    </row>
    <row r="68" spans="1:2" x14ac:dyDescent="0.3">
      <c r="A68">
        <v>66</v>
      </c>
      <c r="B68">
        <v>1.8107970911413002E-2</v>
      </c>
    </row>
    <row r="69" spans="1:2" x14ac:dyDescent="0.3">
      <c r="A69">
        <v>67</v>
      </c>
      <c r="B69">
        <v>1.9753065779066901E-2</v>
      </c>
    </row>
    <row r="70" spans="1:2" x14ac:dyDescent="0.3">
      <c r="A70">
        <v>68</v>
      </c>
      <c r="B70">
        <v>2.2090754862385702E-2</v>
      </c>
    </row>
    <row r="71" spans="1:2" x14ac:dyDescent="0.3">
      <c r="A71">
        <v>69</v>
      </c>
      <c r="B71">
        <v>2.3571069665301599E-2</v>
      </c>
    </row>
    <row r="72" spans="1:2" x14ac:dyDescent="0.3">
      <c r="A72">
        <v>70</v>
      </c>
      <c r="B72">
        <v>2.68115349431844E-2</v>
      </c>
    </row>
    <row r="73" spans="1:2" x14ac:dyDescent="0.3">
      <c r="A73">
        <v>71</v>
      </c>
      <c r="B73">
        <v>2.8335807336038701E-2</v>
      </c>
    </row>
    <row r="74" spans="1:2" x14ac:dyDescent="0.3">
      <c r="A74">
        <v>72</v>
      </c>
      <c r="B74">
        <v>2.95733553248963E-2</v>
      </c>
    </row>
    <row r="75" spans="1:2" x14ac:dyDescent="0.3">
      <c r="A75">
        <v>73</v>
      </c>
      <c r="B75">
        <v>3.1338835224826202E-2</v>
      </c>
    </row>
    <row r="76" spans="1:2" x14ac:dyDescent="0.3">
      <c r="A76">
        <v>74</v>
      </c>
      <c r="B76">
        <v>3.4706161699783501E-2</v>
      </c>
    </row>
    <row r="77" spans="1:2" x14ac:dyDescent="0.3">
      <c r="A77">
        <v>75</v>
      </c>
      <c r="B77">
        <v>3.3733799525178403E-2</v>
      </c>
    </row>
    <row r="78" spans="1:2" x14ac:dyDescent="0.3">
      <c r="A78">
        <v>76</v>
      </c>
      <c r="B78">
        <v>3.9181694915522002E-2</v>
      </c>
    </row>
    <row r="79" spans="1:2" x14ac:dyDescent="0.3">
      <c r="A79">
        <v>77</v>
      </c>
      <c r="B79">
        <v>4.3519400183355997E-2</v>
      </c>
    </row>
    <row r="80" spans="1:2" x14ac:dyDescent="0.3">
      <c r="A80">
        <v>78</v>
      </c>
      <c r="B80">
        <v>4.7061637198488798E-2</v>
      </c>
    </row>
    <row r="81" spans="1:2" x14ac:dyDescent="0.3">
      <c r="A81">
        <v>79</v>
      </c>
      <c r="B81">
        <v>5.1603092899136102E-2</v>
      </c>
    </row>
    <row r="82" spans="1:2" x14ac:dyDescent="0.3">
      <c r="A82">
        <v>80</v>
      </c>
      <c r="B82">
        <v>5.6569514342107802E-2</v>
      </c>
    </row>
    <row r="83" spans="1:2" x14ac:dyDescent="0.3">
      <c r="A83">
        <v>81</v>
      </c>
      <c r="B83">
        <v>5.9376701847631698E-2</v>
      </c>
    </row>
    <row r="84" spans="1:2" x14ac:dyDescent="0.3">
      <c r="A84">
        <v>82</v>
      </c>
      <c r="B84">
        <v>7.05748174180785E-2</v>
      </c>
    </row>
    <row r="85" spans="1:2" x14ac:dyDescent="0.3">
      <c r="A85">
        <v>83</v>
      </c>
      <c r="B85">
        <v>7.6975409981454496E-2</v>
      </c>
    </row>
    <row r="86" spans="1:2" x14ac:dyDescent="0.3">
      <c r="A86">
        <v>84</v>
      </c>
      <c r="B86">
        <v>8.9489535905376602E-2</v>
      </c>
    </row>
    <row r="87" spans="1:2" x14ac:dyDescent="0.3">
      <c r="A87">
        <v>85</v>
      </c>
      <c r="B87">
        <v>0.10042015684392799</v>
      </c>
    </row>
    <row r="88" spans="1:2" x14ac:dyDescent="0.3">
      <c r="A88">
        <v>86</v>
      </c>
      <c r="B88">
        <v>0.11063653358869099</v>
      </c>
    </row>
    <row r="89" spans="1:2" x14ac:dyDescent="0.3">
      <c r="A89">
        <v>87</v>
      </c>
      <c r="B89">
        <v>0.121756868530552</v>
      </c>
    </row>
    <row r="90" spans="1:2" x14ac:dyDescent="0.3">
      <c r="A90">
        <v>88</v>
      </c>
      <c r="B90">
        <v>0.13383173079673999</v>
      </c>
    </row>
    <row r="91" spans="1:2" x14ac:dyDescent="0.3">
      <c r="A91">
        <v>89</v>
      </c>
      <c r="B91">
        <v>0.14690850449435</v>
      </c>
    </row>
    <row r="92" spans="1:2" x14ac:dyDescent="0.3">
      <c r="A92">
        <v>90</v>
      </c>
      <c r="B92">
        <v>0.161029954053483</v>
      </c>
    </row>
    <row r="93" spans="1:2" x14ac:dyDescent="0.3">
      <c r="A93">
        <v>91</v>
      </c>
      <c r="B93">
        <v>0.17623263557920801</v>
      </c>
    </row>
    <row r="94" spans="1:2" x14ac:dyDescent="0.3">
      <c r="A94">
        <v>92</v>
      </c>
      <c r="B94">
        <v>0.192545184646226</v>
      </c>
    </row>
    <row r="95" spans="1:2" x14ac:dyDescent="0.3">
      <c r="A95">
        <v>93</v>
      </c>
      <c r="B95">
        <v>0.20998652604003901</v>
      </c>
    </row>
    <row r="96" spans="1:2" x14ac:dyDescent="0.3">
      <c r="A96">
        <v>94</v>
      </c>
      <c r="B96">
        <v>0.22856406704269799</v>
      </c>
    </row>
    <row r="97" spans="1:2" x14ac:dyDescent="0.3">
      <c r="A97">
        <v>95</v>
      </c>
      <c r="B97">
        <v>0.24827195176855399</v>
      </c>
    </row>
    <row r="98" spans="1:2" x14ac:dyDescent="0.3">
      <c r="A98">
        <v>96</v>
      </c>
      <c r="B98">
        <v>0.26908946816113299</v>
      </c>
    </row>
    <row r="99" spans="1:2" x14ac:dyDescent="0.3">
      <c r="A99">
        <v>97</v>
      </c>
      <c r="B99">
        <v>0.290979709631284</v>
      </c>
    </row>
    <row r="100" spans="1:2" x14ac:dyDescent="0.3">
      <c r="A100">
        <v>98</v>
      </c>
      <c r="B100">
        <v>0.31388859786824103</v>
      </c>
    </row>
    <row r="101" spans="1:2" x14ac:dyDescent="0.3">
      <c r="A101">
        <v>99</v>
      </c>
      <c r="B101">
        <v>0.33774437012721698</v>
      </c>
    </row>
    <row r="102" spans="1:2" x14ac:dyDescent="0.3">
      <c r="A102">
        <v>100</v>
      </c>
      <c r="B102">
        <v>0.36245762178491497</v>
      </c>
    </row>
    <row r="103" spans="1:2" x14ac:dyDescent="0.3">
      <c r="A103">
        <v>101</v>
      </c>
      <c r="B103">
        <v>0.38792197247396498</v>
      </c>
    </row>
    <row r="104" spans="1:2" x14ac:dyDescent="0.3">
      <c r="A104">
        <v>102</v>
      </c>
      <c r="B104">
        <v>0.41401539211775801</v>
      </c>
    </row>
    <row r="105" spans="1:2" x14ac:dyDescent="0.3">
      <c r="A105">
        <v>103</v>
      </c>
      <c r="B105">
        <v>0.44060218348539298</v>
      </c>
    </row>
    <row r="106" spans="1:2" x14ac:dyDescent="0.3">
      <c r="A106">
        <v>104</v>
      </c>
      <c r="B106">
        <v>0.46753557360093101</v>
      </c>
    </row>
    <row r="107" spans="1:2" x14ac:dyDescent="0.3">
      <c r="A107">
        <v>105</v>
      </c>
      <c r="B107">
        <v>0.49466082167416903</v>
      </c>
    </row>
    <row r="108" spans="1:2" x14ac:dyDescent="0.3">
      <c r="A108">
        <v>106</v>
      </c>
      <c r="B108">
        <v>0.52181871094479304</v>
      </c>
    </row>
    <row r="109" spans="1:2" x14ac:dyDescent="0.3">
      <c r="A109">
        <v>107</v>
      </c>
      <c r="B109">
        <v>0.54884926060852601</v>
      </c>
    </row>
    <row r="110" spans="1:2" x14ac:dyDescent="0.3">
      <c r="A110">
        <v>108</v>
      </c>
      <c r="B110">
        <v>0.57559547563062596</v>
      </c>
    </row>
    <row r="111" spans="1:2" x14ac:dyDescent="0.3">
      <c r="A111">
        <v>109</v>
      </c>
      <c r="B111">
        <v>0.60190694905901199</v>
      </c>
    </row>
    <row r="112" spans="1:2" x14ac:dyDescent="0.3">
      <c r="A112">
        <v>110</v>
      </c>
      <c r="B112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9BBE-A275-49FE-B977-5F44339A9F2C}">
  <dimension ref="A1:I113"/>
  <sheetViews>
    <sheetView workbookViewId="0">
      <selection activeCell="K6" sqref="K6"/>
    </sheetView>
  </sheetViews>
  <sheetFormatPr baseColWidth="10" defaultRowHeight="14.4" x14ac:dyDescent="0.3"/>
  <cols>
    <col min="1" max="1" width="11.5546875" customWidth="1"/>
    <col min="4" max="4" width="10.5546875" customWidth="1"/>
    <col min="5" max="5" width="8.6640625" customWidth="1"/>
    <col min="8" max="8" width="9.6640625" customWidth="1"/>
  </cols>
  <sheetData>
    <row r="1" spans="1:9" x14ac:dyDescent="0.3">
      <c r="A1" t="s">
        <v>2</v>
      </c>
      <c r="C1" t="s">
        <v>4</v>
      </c>
    </row>
    <row r="2" spans="1:9" x14ac:dyDescent="0.3">
      <c r="A2" t="s">
        <v>0</v>
      </c>
      <c r="B2" t="s">
        <v>1</v>
      </c>
      <c r="C2" t="s">
        <v>3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</row>
    <row r="3" spans="1:9" x14ac:dyDescent="0.3">
      <c r="A3">
        <v>0</v>
      </c>
      <c r="B3">
        <v>9.2705875172031903E-3</v>
      </c>
      <c r="C3" s="1">
        <v>10000000</v>
      </c>
      <c r="D3" s="1">
        <f>C4</f>
        <v>9907294.124827968</v>
      </c>
      <c r="E3" s="1">
        <f>C3-D3</f>
        <v>92705.875172032043</v>
      </c>
      <c r="F3">
        <f>D3/C3</f>
        <v>0.99072941248279678</v>
      </c>
      <c r="G3" s="1">
        <f>SUM(H3:H$112)</f>
        <v>732880231.17552853</v>
      </c>
      <c r="H3" s="1">
        <f>AVERAGE(C3:D3)</f>
        <v>9953647.062413983</v>
      </c>
      <c r="I3">
        <f>G3/C3</f>
        <v>73.288023117552854</v>
      </c>
    </row>
    <row r="4" spans="1:9" x14ac:dyDescent="0.3">
      <c r="A4">
        <v>1</v>
      </c>
      <c r="B4">
        <v>5.6107923804468102E-3</v>
      </c>
      <c r="C4" s="1">
        <f>C3*(1-B3)</f>
        <v>9907294.124827968</v>
      </c>
      <c r="D4" s="1">
        <f t="shared" ref="D4:D67" si="0">C5</f>
        <v>9851706.3544415385</v>
      </c>
      <c r="E4" s="1">
        <f t="shared" ref="E4:E67" si="1">C4-D4</f>
        <v>55587.770386429504</v>
      </c>
      <c r="F4">
        <f t="shared" ref="F4:F67" si="2">D4/C4</f>
        <v>0.99438920761955329</v>
      </c>
      <c r="G4" s="1">
        <f>SUM(H4:H$112)</f>
        <v>722926584.1131146</v>
      </c>
      <c r="H4" s="1">
        <f t="shared" ref="H4:H67" si="3">AVERAGE(C4:D4)</f>
        <v>9879500.2396347523</v>
      </c>
      <c r="I4">
        <f t="shared" ref="I4:I67" si="4">G4/C4</f>
        <v>72.96912507133905</v>
      </c>
    </row>
    <row r="5" spans="1:9" x14ac:dyDescent="0.3">
      <c r="A5">
        <v>2</v>
      </c>
      <c r="B5">
        <v>4.6183224596591304E-3</v>
      </c>
      <c r="C5" s="1">
        <f t="shared" ref="C5:C68" si="5">C4*(1-B4)</f>
        <v>9851706.3544415385</v>
      </c>
      <c r="D5" s="1">
        <f t="shared" si="0"/>
        <v>9806207.9977188557</v>
      </c>
      <c r="E5" s="1">
        <f t="shared" si="1"/>
        <v>45498.356722682714</v>
      </c>
      <c r="F5">
        <f t="shared" si="2"/>
        <v>0.99538167754034101</v>
      </c>
      <c r="G5" s="1">
        <f>SUM(H5:H$112)</f>
        <v>713047083.87347984</v>
      </c>
      <c r="H5" s="1">
        <f t="shared" si="3"/>
        <v>9828957.1760801971</v>
      </c>
      <c r="I5">
        <f t="shared" si="4"/>
        <v>72.378028558678068</v>
      </c>
    </row>
    <row r="6" spans="1:9" x14ac:dyDescent="0.3">
      <c r="A6">
        <v>3</v>
      </c>
      <c r="B6">
        <v>4.3940966413034297E-3</v>
      </c>
      <c r="C6" s="1">
        <f t="shared" si="5"/>
        <v>9806207.9977188557</v>
      </c>
      <c r="D6" s="1">
        <f t="shared" si="0"/>
        <v>9763118.5720921569</v>
      </c>
      <c r="E6" s="1">
        <f t="shared" si="1"/>
        <v>43089.425626698881</v>
      </c>
      <c r="F6">
        <f t="shared" si="2"/>
        <v>0.99560590335869659</v>
      </c>
      <c r="G6" s="1">
        <f>SUM(H6:H$112)</f>
        <v>703218126.69739962</v>
      </c>
      <c r="H6" s="1">
        <f t="shared" si="3"/>
        <v>9784663.2849055063</v>
      </c>
      <c r="I6">
        <f t="shared" si="4"/>
        <v>71.711524664884124</v>
      </c>
    </row>
    <row r="7" spans="1:9" x14ac:dyDescent="0.3">
      <c r="A7">
        <v>4</v>
      </c>
      <c r="B7">
        <v>4.4901807518419098E-3</v>
      </c>
      <c r="C7" s="1">
        <f t="shared" si="5"/>
        <v>9763118.5720921569</v>
      </c>
      <c r="D7" s="1">
        <f t="shared" si="0"/>
        <v>9719280.4050017986</v>
      </c>
      <c r="E7" s="1">
        <f t="shared" si="1"/>
        <v>43838.167090358213</v>
      </c>
      <c r="F7">
        <f t="shared" si="2"/>
        <v>0.99550981924815807</v>
      </c>
      <c r="G7" s="1">
        <f>SUM(H7:H$112)</f>
        <v>693433463.41249406</v>
      </c>
      <c r="H7" s="1">
        <f t="shared" si="3"/>
        <v>9741199.4885469787</v>
      </c>
      <c r="I7">
        <f t="shared" si="4"/>
        <v>71.025816012792404</v>
      </c>
    </row>
    <row r="8" spans="1:9" x14ac:dyDescent="0.3">
      <c r="A8">
        <v>5</v>
      </c>
      <c r="B8">
        <v>4.74445034496451E-3</v>
      </c>
      <c r="C8" s="1">
        <f t="shared" si="5"/>
        <v>9719280.4050017986</v>
      </c>
      <c r="D8" s="1">
        <f t="shared" si="0"/>
        <v>9673167.7617314812</v>
      </c>
      <c r="E8" s="1">
        <f t="shared" si="1"/>
        <v>46112.643270317465</v>
      </c>
      <c r="F8">
        <f t="shared" si="2"/>
        <v>0.99525554965503549</v>
      </c>
      <c r="G8" s="1">
        <f>SUM(H8:H$112)</f>
        <v>683692263.9239471</v>
      </c>
      <c r="H8" s="1">
        <f t="shared" si="3"/>
        <v>9696224.0833666399</v>
      </c>
      <c r="I8">
        <f t="shared" si="4"/>
        <v>70.343918009825188</v>
      </c>
    </row>
    <row r="9" spans="1:9" x14ac:dyDescent="0.3">
      <c r="A9">
        <v>6</v>
      </c>
      <c r="B9">
        <v>5.08433962751115E-3</v>
      </c>
      <c r="C9" s="1">
        <f t="shared" si="5"/>
        <v>9673167.7617314812</v>
      </c>
      <c r="D9" s="1">
        <f t="shared" si="0"/>
        <v>9623986.0915569458</v>
      </c>
      <c r="E9" s="1">
        <f t="shared" si="1"/>
        <v>49181.670174535364</v>
      </c>
      <c r="F9">
        <f t="shared" si="2"/>
        <v>0.9949156603724888</v>
      </c>
      <c r="G9" s="1">
        <f>SUM(H9:H$112)</f>
        <v>673996039.84058046</v>
      </c>
      <c r="H9" s="1">
        <f t="shared" si="3"/>
        <v>9648576.9266442135</v>
      </c>
      <c r="I9">
        <f t="shared" si="4"/>
        <v>69.676868678636069</v>
      </c>
    </row>
    <row r="10" spans="1:9" x14ac:dyDescent="0.3">
      <c r="A10">
        <v>7</v>
      </c>
      <c r="B10">
        <v>5.4728903546926201E-3</v>
      </c>
      <c r="C10" s="1">
        <f t="shared" si="5"/>
        <v>9623986.0915569458</v>
      </c>
      <c r="D10" s="1">
        <f t="shared" si="0"/>
        <v>9571315.0709027667</v>
      </c>
      <c r="E10" s="1">
        <f t="shared" si="1"/>
        <v>52671.020654179156</v>
      </c>
      <c r="F10">
        <f t="shared" si="2"/>
        <v>0.99452710964530722</v>
      </c>
      <c r="G10" s="1">
        <f>SUM(H10:H$112)</f>
        <v>664347462.91393626</v>
      </c>
      <c r="H10" s="1">
        <f t="shared" si="3"/>
        <v>9597650.5812298562</v>
      </c>
      <c r="I10">
        <f t="shared" si="4"/>
        <v>69.030384769234402</v>
      </c>
    </row>
    <row r="11" spans="1:9" x14ac:dyDescent="0.3">
      <c r="A11">
        <v>8</v>
      </c>
      <c r="B11">
        <v>5.8895783232031504E-3</v>
      </c>
      <c r="C11" s="1">
        <f t="shared" si="5"/>
        <v>9571315.0709027667</v>
      </c>
      <c r="D11" s="1">
        <f t="shared" si="0"/>
        <v>9514944.0611366294</v>
      </c>
      <c r="E11" s="1">
        <f t="shared" si="1"/>
        <v>56371.009766137227</v>
      </c>
      <c r="F11">
        <f t="shared" si="2"/>
        <v>0.99411042167679675</v>
      </c>
      <c r="G11" s="1">
        <f>SUM(H11:H$112)</f>
        <v>654749812.33270633</v>
      </c>
      <c r="H11" s="1">
        <f t="shared" si="3"/>
        <v>9543129.566019699</v>
      </c>
      <c r="I11">
        <f t="shared" si="4"/>
        <v>68.407508005161759</v>
      </c>
    </row>
    <row r="12" spans="1:9" x14ac:dyDescent="0.3">
      <c r="A12">
        <v>9</v>
      </c>
      <c r="B12">
        <v>6.3222873734560198E-3</v>
      </c>
      <c r="C12" s="1">
        <f t="shared" si="5"/>
        <v>9514944.0611366294</v>
      </c>
      <c r="D12" s="1">
        <f t="shared" si="0"/>
        <v>9454787.8504397646</v>
      </c>
      <c r="E12" s="1">
        <f t="shared" si="1"/>
        <v>60156.210696864873</v>
      </c>
      <c r="F12">
        <f t="shared" si="2"/>
        <v>0.99367771262654392</v>
      </c>
      <c r="G12" s="1">
        <f>SUM(H12:H$112)</f>
        <v>645206682.76668668</v>
      </c>
      <c r="H12" s="1">
        <f t="shared" si="3"/>
        <v>9484865.955788197</v>
      </c>
      <c r="I12">
        <f t="shared" si="4"/>
        <v>67.809824064232288</v>
      </c>
    </row>
    <row r="13" spans="1:9" x14ac:dyDescent="0.3">
      <c r="A13">
        <v>10</v>
      </c>
      <c r="B13">
        <v>1.29626024706946E-3</v>
      </c>
      <c r="C13" s="1">
        <f t="shared" si="5"/>
        <v>9454787.8504397646</v>
      </c>
      <c r="D13" s="1">
        <f t="shared" si="0"/>
        <v>9442531.9848047644</v>
      </c>
      <c r="E13" s="1">
        <f t="shared" si="1"/>
        <v>12255.865635000169</v>
      </c>
      <c r="F13">
        <f t="shared" si="2"/>
        <v>0.99870373975293059</v>
      </c>
      <c r="G13" s="1">
        <f>SUM(H13:H$112)</f>
        <v>635721816.81089866</v>
      </c>
      <c r="H13" s="1">
        <f t="shared" si="3"/>
        <v>9448659.9176222645</v>
      </c>
      <c r="I13">
        <f t="shared" si="4"/>
        <v>67.238083695482359</v>
      </c>
    </row>
    <row r="14" spans="1:9" x14ac:dyDescent="0.3">
      <c r="A14">
        <v>11</v>
      </c>
      <c r="B14">
        <v>1.24021725674109E-3</v>
      </c>
      <c r="C14" s="1">
        <f t="shared" si="5"/>
        <v>9442531.9848047644</v>
      </c>
      <c r="D14" s="1">
        <f t="shared" si="0"/>
        <v>9430821.1936898809</v>
      </c>
      <c r="E14" s="1">
        <f t="shared" si="1"/>
        <v>11710.791114883497</v>
      </c>
      <c r="F14">
        <f t="shared" si="2"/>
        <v>0.99875978274325905</v>
      </c>
      <c r="G14" s="1">
        <f>SUM(H14:H$112)</f>
        <v>626273156.89327645</v>
      </c>
      <c r="H14" s="1">
        <f t="shared" si="3"/>
        <v>9436676.5892473236</v>
      </c>
      <c r="I14">
        <f t="shared" si="4"/>
        <v>66.324705905269468</v>
      </c>
    </row>
    <row r="15" spans="1:9" x14ac:dyDescent="0.3">
      <c r="A15">
        <v>12</v>
      </c>
      <c r="B15">
        <v>1.19192465517807E-3</v>
      </c>
      <c r="C15" s="1">
        <f t="shared" si="5"/>
        <v>9430821.1936898809</v>
      </c>
      <c r="D15" s="1">
        <f t="shared" si="0"/>
        <v>9419580.3653905466</v>
      </c>
      <c r="E15" s="1">
        <f t="shared" si="1"/>
        <v>11240.828299334273</v>
      </c>
      <c r="F15">
        <f t="shared" si="2"/>
        <v>0.99880807534482197</v>
      </c>
      <c r="G15" s="1">
        <f>SUM(H15:H$112)</f>
        <v>616836480.30402911</v>
      </c>
      <c r="H15" s="1">
        <f t="shared" si="3"/>
        <v>9425200.7795402147</v>
      </c>
      <c r="I15">
        <f t="shared" si="4"/>
        <v>65.406444214714995</v>
      </c>
    </row>
    <row r="16" spans="1:9" x14ac:dyDescent="0.3">
      <c r="A16">
        <v>13</v>
      </c>
      <c r="B16">
        <v>1.15009490808231E-3</v>
      </c>
      <c r="C16" s="1">
        <f t="shared" si="5"/>
        <v>9419580.3653905466</v>
      </c>
      <c r="D16" s="1">
        <f t="shared" si="0"/>
        <v>9408746.9539760388</v>
      </c>
      <c r="E16" s="1">
        <f t="shared" si="1"/>
        <v>10833.411414507776</v>
      </c>
      <c r="F16">
        <f t="shared" si="2"/>
        <v>0.99884990509191773</v>
      </c>
      <c r="G16" s="1">
        <f>SUM(H16:H$112)</f>
        <v>607411279.52448881</v>
      </c>
      <c r="H16" s="1">
        <f t="shared" si="3"/>
        <v>9414163.6596832927</v>
      </c>
      <c r="I16">
        <f t="shared" si="4"/>
        <v>64.483900127466541</v>
      </c>
    </row>
    <row r="17" spans="1:9" x14ac:dyDescent="0.3">
      <c r="A17">
        <v>14</v>
      </c>
      <c r="B17">
        <v>1.1138631833215199E-3</v>
      </c>
      <c r="C17" s="1">
        <f t="shared" si="5"/>
        <v>9408746.9539760388</v>
      </c>
      <c r="D17" s="1">
        <f t="shared" si="0"/>
        <v>9398266.8971428163</v>
      </c>
      <c r="E17" s="1">
        <f t="shared" si="1"/>
        <v>10480.056833222508</v>
      </c>
      <c r="F17">
        <f t="shared" si="2"/>
        <v>0.99888613681667848</v>
      </c>
      <c r="G17" s="1">
        <f>SUM(H17:H$112)</f>
        <v>597997115.86480546</v>
      </c>
      <c r="H17" s="1">
        <f t="shared" si="3"/>
        <v>9403506.9255594276</v>
      </c>
      <c r="I17">
        <f t="shared" si="4"/>
        <v>63.557572415325517</v>
      </c>
    </row>
    <row r="18" spans="1:9" x14ac:dyDescent="0.3">
      <c r="A18">
        <v>15</v>
      </c>
      <c r="B18">
        <v>1.08274522509788E-3</v>
      </c>
      <c r="C18" s="1">
        <f t="shared" si="5"/>
        <v>9398266.8971428163</v>
      </c>
      <c r="D18" s="1">
        <f t="shared" si="0"/>
        <v>9388090.9685357399</v>
      </c>
      <c r="E18" s="1">
        <f t="shared" si="1"/>
        <v>10175.928607076406</v>
      </c>
      <c r="F18">
        <f t="shared" si="2"/>
        <v>0.99891725477490212</v>
      </c>
      <c r="G18" s="1">
        <f>SUM(H18:H$112)</f>
        <v>588593608.93924606</v>
      </c>
      <c r="H18" s="1">
        <f t="shared" si="3"/>
        <v>9393178.9328392781</v>
      </c>
      <c r="I18">
        <f t="shared" si="4"/>
        <v>62.627888245883447</v>
      </c>
    </row>
    <row r="19" spans="1:9" x14ac:dyDescent="0.3">
      <c r="A19">
        <v>16</v>
      </c>
      <c r="B19">
        <v>1.0566416454371899E-3</v>
      </c>
      <c r="C19" s="1">
        <f t="shared" si="5"/>
        <v>9388090.9685357399</v>
      </c>
      <c r="D19" s="1">
        <f t="shared" si="0"/>
        <v>9378171.120647233</v>
      </c>
      <c r="E19" s="1">
        <f t="shared" si="1"/>
        <v>9919.8478885069489</v>
      </c>
      <c r="F19">
        <f t="shared" si="2"/>
        <v>0.99894335835456283</v>
      </c>
      <c r="G19" s="1">
        <f>SUM(H19:H$112)</f>
        <v>579200430.00640678</v>
      </c>
      <c r="H19" s="1">
        <f t="shared" si="3"/>
        <v>9383131.0445914865</v>
      </c>
      <c r="I19">
        <f t="shared" si="4"/>
        <v>61.695229834010078</v>
      </c>
    </row>
    <row r="20" spans="1:9" x14ac:dyDescent="0.3">
      <c r="A20">
        <v>17</v>
      </c>
      <c r="B20">
        <v>1.03585587509764E-3</v>
      </c>
      <c r="C20" s="1">
        <f t="shared" si="5"/>
        <v>9378171.120647233</v>
      </c>
      <c r="D20" s="1">
        <f t="shared" si="0"/>
        <v>9368456.6869942397</v>
      </c>
      <c r="E20" s="1">
        <f t="shared" si="1"/>
        <v>9714.4336529932916</v>
      </c>
      <c r="F20">
        <f t="shared" si="2"/>
        <v>0.99896414412490242</v>
      </c>
      <c r="G20" s="1">
        <f>SUM(H20:H$112)</f>
        <v>569817298.96181536</v>
      </c>
      <c r="H20" s="1">
        <f t="shared" si="3"/>
        <v>9373313.9038207363</v>
      </c>
      <c r="I20">
        <f t="shared" si="4"/>
        <v>60.759959658583142</v>
      </c>
    </row>
    <row r="21" spans="1:9" x14ac:dyDescent="0.3">
      <c r="A21">
        <v>18</v>
      </c>
      <c r="B21">
        <v>1.02109321482963E-3</v>
      </c>
      <c r="C21" s="1">
        <f t="shared" si="5"/>
        <v>9368456.6869942397</v>
      </c>
      <c r="D21" s="1">
        <f t="shared" si="0"/>
        <v>9358890.6194377244</v>
      </c>
      <c r="E21" s="1">
        <f t="shared" si="1"/>
        <v>9566.067556515336</v>
      </c>
      <c r="F21">
        <f t="shared" si="2"/>
        <v>0.99897890678517032</v>
      </c>
      <c r="G21" s="1">
        <f>SUM(H21:H$112)</f>
        <v>560443985.0579946</v>
      </c>
      <c r="H21" s="1">
        <f t="shared" si="3"/>
        <v>9363673.653215982</v>
      </c>
      <c r="I21">
        <f t="shared" si="4"/>
        <v>59.822445017654935</v>
      </c>
    </row>
    <row r="22" spans="1:9" x14ac:dyDescent="0.3">
      <c r="A22">
        <v>19</v>
      </c>
      <c r="B22">
        <v>1.01341491649395E-3</v>
      </c>
      <c r="C22" s="1">
        <f t="shared" si="5"/>
        <v>9358890.6194377244</v>
      </c>
      <c r="D22" s="1">
        <f t="shared" si="0"/>
        <v>9349406.1800821498</v>
      </c>
      <c r="E22" s="1">
        <f t="shared" si="1"/>
        <v>9484.4393555745482</v>
      </c>
      <c r="F22">
        <f t="shared" si="2"/>
        <v>0.99898658508350591</v>
      </c>
      <c r="G22" s="1">
        <f>SUM(H22:H$112)</f>
        <v>551080311.4047786</v>
      </c>
      <c r="H22" s="1">
        <f t="shared" si="3"/>
        <v>9354148.3997599371</v>
      </c>
      <c r="I22">
        <f t="shared" si="4"/>
        <v>58.883080678411339</v>
      </c>
    </row>
    <row r="23" spans="1:9" x14ac:dyDescent="0.3">
      <c r="A23">
        <v>20</v>
      </c>
      <c r="B23">
        <v>8.58419823370404E-4</v>
      </c>
      <c r="C23" s="1">
        <f t="shared" si="5"/>
        <v>9349406.1800821498</v>
      </c>
      <c r="D23" s="1">
        <f t="shared" si="0"/>
        <v>9341380.4644804262</v>
      </c>
      <c r="E23" s="1">
        <f t="shared" si="1"/>
        <v>8025.7156017236412</v>
      </c>
      <c r="F23">
        <f t="shared" si="2"/>
        <v>0.99914158017662968</v>
      </c>
      <c r="G23" s="1">
        <f>SUM(H23:H$112)</f>
        <v>541726163.00501847</v>
      </c>
      <c r="H23" s="1">
        <f t="shared" si="3"/>
        <v>9345393.322281288</v>
      </c>
      <c r="I23">
        <f t="shared" si="4"/>
        <v>57.942306984063293</v>
      </c>
    </row>
    <row r="24" spans="1:9" x14ac:dyDescent="0.3">
      <c r="A24">
        <v>21</v>
      </c>
      <c r="B24">
        <v>1.14990727214722E-3</v>
      </c>
      <c r="C24" s="1">
        <f t="shared" si="5"/>
        <v>9341380.4644804262</v>
      </c>
      <c r="D24" s="1">
        <f t="shared" si="0"/>
        <v>9330638.7431524266</v>
      </c>
      <c r="E24" s="1">
        <f t="shared" si="1"/>
        <v>10741.721327999607</v>
      </c>
      <c r="F24">
        <f t="shared" si="2"/>
        <v>0.99885009272785286</v>
      </c>
      <c r="G24" s="1">
        <f>SUM(H24:H$112)</f>
        <v>532380769.68273705</v>
      </c>
      <c r="H24" s="1">
        <f t="shared" si="3"/>
        <v>9336009.6038164273</v>
      </c>
      <c r="I24">
        <f t="shared" si="4"/>
        <v>56.991658963796247</v>
      </c>
    </row>
    <row r="25" spans="1:9" x14ac:dyDescent="0.3">
      <c r="A25">
        <v>22</v>
      </c>
      <c r="B25">
        <v>1.0093527249881E-3</v>
      </c>
      <c r="C25" s="1">
        <f t="shared" si="5"/>
        <v>9330638.7431524266</v>
      </c>
      <c r="D25" s="1">
        <f t="shared" si="0"/>
        <v>9321220.8375111464</v>
      </c>
      <c r="E25" s="1">
        <f t="shared" si="1"/>
        <v>9417.9056412801147</v>
      </c>
      <c r="F25">
        <f t="shared" si="2"/>
        <v>0.99899064727501197</v>
      </c>
      <c r="G25" s="1">
        <f>SUM(H25:H$112)</f>
        <v>523044760.07892066</v>
      </c>
      <c r="H25" s="1">
        <f t="shared" si="3"/>
        <v>9325929.7903317865</v>
      </c>
      <c r="I25">
        <f t="shared" si="4"/>
        <v>56.056693917420496</v>
      </c>
    </row>
    <row r="26" spans="1:9" x14ac:dyDescent="0.3">
      <c r="A26">
        <v>23</v>
      </c>
      <c r="B26">
        <v>1.1889848554431999E-3</v>
      </c>
      <c r="C26" s="1">
        <f t="shared" si="5"/>
        <v>9321220.8375111464</v>
      </c>
      <c r="D26" s="1">
        <f t="shared" si="0"/>
        <v>9310138.0471011046</v>
      </c>
      <c r="E26" s="1">
        <f t="shared" si="1"/>
        <v>11082.790410041809</v>
      </c>
      <c r="F26">
        <f t="shared" si="2"/>
        <v>0.99881101514455684</v>
      </c>
      <c r="G26" s="1">
        <f>SUM(H26:H$112)</f>
        <v>513718830.28858882</v>
      </c>
      <c r="H26" s="1">
        <f t="shared" si="3"/>
        <v>9315679.4423061255</v>
      </c>
      <c r="I26">
        <f t="shared" si="4"/>
        <v>55.112826875771844</v>
      </c>
    </row>
    <row r="27" spans="1:9" x14ac:dyDescent="0.3">
      <c r="A27">
        <v>24</v>
      </c>
      <c r="B27">
        <v>1.1143796465444701E-3</v>
      </c>
      <c r="C27" s="1">
        <f t="shared" si="5"/>
        <v>9310138.0471011046</v>
      </c>
      <c r="D27" s="1">
        <f t="shared" si="0"/>
        <v>9299763.0187548958</v>
      </c>
      <c r="E27" s="1">
        <f t="shared" si="1"/>
        <v>10375.028346208856</v>
      </c>
      <c r="F27">
        <f t="shared" si="2"/>
        <v>0.99888562035345552</v>
      </c>
      <c r="G27" s="1">
        <f>SUM(H27:H$112)</f>
        <v>504403150.84628266</v>
      </c>
      <c r="H27" s="1">
        <f t="shared" si="3"/>
        <v>9304950.5329280011</v>
      </c>
      <c r="I27">
        <f t="shared" si="4"/>
        <v>54.17783799707874</v>
      </c>
    </row>
    <row r="28" spans="1:9" x14ac:dyDescent="0.3">
      <c r="A28">
        <v>25</v>
      </c>
      <c r="B28">
        <v>1.2039063835446401E-3</v>
      </c>
      <c r="C28" s="1">
        <f t="shared" si="5"/>
        <v>9299763.0187548958</v>
      </c>
      <c r="D28" s="1">
        <f t="shared" si="0"/>
        <v>9288566.9746911637</v>
      </c>
      <c r="E28" s="1">
        <f t="shared" si="1"/>
        <v>11196.044063732028</v>
      </c>
      <c r="F28">
        <f t="shared" si="2"/>
        <v>0.99879609361645527</v>
      </c>
      <c r="G28" s="1">
        <f>SUM(H28:H$112)</f>
        <v>495098200.31335467</v>
      </c>
      <c r="H28" s="1">
        <f t="shared" si="3"/>
        <v>9294164.9967230298</v>
      </c>
      <c r="I28">
        <f t="shared" si="4"/>
        <v>53.237722220973453</v>
      </c>
    </row>
    <row r="29" spans="1:9" x14ac:dyDescent="0.3">
      <c r="A29">
        <v>26</v>
      </c>
      <c r="B29">
        <v>1.3468361597801901E-3</v>
      </c>
      <c r="C29" s="1">
        <f t="shared" si="5"/>
        <v>9288566.9746911637</v>
      </c>
      <c r="D29" s="1">
        <f t="shared" si="0"/>
        <v>9276056.7968171109</v>
      </c>
      <c r="E29" s="1">
        <f t="shared" si="1"/>
        <v>12510.177874052897</v>
      </c>
      <c r="F29">
        <f t="shared" si="2"/>
        <v>0.99865316384021996</v>
      </c>
      <c r="G29" s="1">
        <f>SUM(H29:H$112)</f>
        <v>485804035.31663162</v>
      </c>
      <c r="H29" s="1">
        <f t="shared" si="3"/>
        <v>9282311.8857541382</v>
      </c>
      <c r="I29">
        <f t="shared" si="4"/>
        <v>52.301290031101288</v>
      </c>
    </row>
    <row r="30" spans="1:9" x14ac:dyDescent="0.3">
      <c r="A30">
        <v>27</v>
      </c>
      <c r="B30">
        <v>1.31185184996922E-3</v>
      </c>
      <c r="C30" s="1">
        <f t="shared" si="5"/>
        <v>9276056.7968171109</v>
      </c>
      <c r="D30" s="1">
        <f t="shared" si="0"/>
        <v>9263887.9845477864</v>
      </c>
      <c r="E30" s="1">
        <f t="shared" si="1"/>
        <v>12168.812269324437</v>
      </c>
      <c r="F30">
        <f t="shared" si="2"/>
        <v>0.99868814815003071</v>
      </c>
      <c r="G30" s="1">
        <f>SUM(H30:H$112)</f>
        <v>476521723.43087751</v>
      </c>
      <c r="H30" s="1">
        <f t="shared" si="3"/>
        <v>9269972.3906824477</v>
      </c>
      <c r="I30">
        <f t="shared" si="4"/>
        <v>51.371151974229633</v>
      </c>
    </row>
    <row r="31" spans="1:9" x14ac:dyDescent="0.3">
      <c r="A31">
        <v>28</v>
      </c>
      <c r="B31">
        <v>1.4041495304155699E-3</v>
      </c>
      <c r="C31" s="1">
        <f t="shared" si="5"/>
        <v>9263887.9845477864</v>
      </c>
      <c r="D31" s="1">
        <f t="shared" si="0"/>
        <v>9250880.1005844604</v>
      </c>
      <c r="E31" s="1">
        <f t="shared" si="1"/>
        <v>13007.883963325992</v>
      </c>
      <c r="F31">
        <f t="shared" si="2"/>
        <v>0.99859585046958432</v>
      </c>
      <c r="G31" s="1">
        <f>SUM(H31:H$112)</f>
        <v>467251751.04019517</v>
      </c>
      <c r="H31" s="1">
        <f t="shared" si="3"/>
        <v>9257384.0425661243</v>
      </c>
      <c r="I31">
        <f t="shared" si="4"/>
        <v>50.43797505103403</v>
      </c>
    </row>
    <row r="32" spans="1:9" x14ac:dyDescent="0.3">
      <c r="A32">
        <v>29</v>
      </c>
      <c r="B32">
        <v>1.7439878262772101E-3</v>
      </c>
      <c r="C32" s="1">
        <f t="shared" si="5"/>
        <v>9250880.1005844604</v>
      </c>
      <c r="D32" s="1">
        <f t="shared" si="0"/>
        <v>9234746.6783066913</v>
      </c>
      <c r="E32" s="1">
        <f t="shared" si="1"/>
        <v>16133.422277769074</v>
      </c>
      <c r="F32">
        <f t="shared" si="2"/>
        <v>0.99825601217372284</v>
      </c>
      <c r="G32" s="1">
        <f>SUM(H32:H$112)</f>
        <v>457994366.99762899</v>
      </c>
      <c r="H32" s="1">
        <f t="shared" si="3"/>
        <v>9242813.3894455768</v>
      </c>
      <c r="I32">
        <f t="shared" si="4"/>
        <v>49.508194033202678</v>
      </c>
    </row>
    <row r="33" spans="1:9" x14ac:dyDescent="0.3">
      <c r="A33">
        <v>30</v>
      </c>
      <c r="B33">
        <v>1.61972229399478E-3</v>
      </c>
      <c r="C33" s="1">
        <f t="shared" si="5"/>
        <v>9234746.6783066913</v>
      </c>
      <c r="D33" s="1">
        <f t="shared" si="0"/>
        <v>9219788.9532324448</v>
      </c>
      <c r="E33" s="1">
        <f t="shared" si="1"/>
        <v>14957.725074246526</v>
      </c>
      <c r="F33">
        <f t="shared" si="2"/>
        <v>0.99838027770600535</v>
      </c>
      <c r="G33" s="1">
        <f>SUM(H33:H$112)</f>
        <v>448751553.60818332</v>
      </c>
      <c r="H33" s="1">
        <f t="shared" si="3"/>
        <v>9227267.8157695681</v>
      </c>
      <c r="I33">
        <f t="shared" si="4"/>
        <v>48.593813045499552</v>
      </c>
    </row>
    <row r="34" spans="1:9" x14ac:dyDescent="0.3">
      <c r="A34">
        <v>31</v>
      </c>
      <c r="B34">
        <v>1.6951273064436899E-3</v>
      </c>
      <c r="C34" s="1">
        <f t="shared" si="5"/>
        <v>9219788.9532324448</v>
      </c>
      <c r="D34" s="1">
        <f t="shared" si="0"/>
        <v>9204160.2372181732</v>
      </c>
      <c r="E34" s="1">
        <f t="shared" si="1"/>
        <v>15628.716014271602</v>
      </c>
      <c r="F34">
        <f t="shared" si="2"/>
        <v>0.99830487269355639</v>
      </c>
      <c r="G34" s="1">
        <f>SUM(H34:H$112)</f>
        <v>439524285.79241377</v>
      </c>
      <c r="H34" s="1">
        <f t="shared" si="3"/>
        <v>9211974.5952253081</v>
      </c>
      <c r="I34">
        <f t="shared" si="4"/>
        <v>47.671838045524588</v>
      </c>
    </row>
    <row r="35" spans="1:9" x14ac:dyDescent="0.3">
      <c r="A35">
        <v>32</v>
      </c>
      <c r="B35">
        <v>1.59308870919839E-3</v>
      </c>
      <c r="C35" s="1">
        <f t="shared" si="5"/>
        <v>9204160.2372181732</v>
      </c>
      <c r="D35" s="1">
        <f t="shared" si="0"/>
        <v>9189497.1934666075</v>
      </c>
      <c r="E35" s="1">
        <f t="shared" si="1"/>
        <v>14663.04375156574</v>
      </c>
      <c r="F35">
        <f t="shared" si="2"/>
        <v>0.9984069112908015</v>
      </c>
      <c r="G35" s="1">
        <f>SUM(H35:H$112)</f>
        <v>430312311.19718856</v>
      </c>
      <c r="H35" s="1">
        <f t="shared" si="3"/>
        <v>9196828.7153423913</v>
      </c>
      <c r="I35">
        <f t="shared" si="4"/>
        <v>46.751936092677624</v>
      </c>
    </row>
    <row r="36" spans="1:9" x14ac:dyDescent="0.3">
      <c r="A36">
        <v>33</v>
      </c>
      <c r="B36">
        <v>2.0672659961486501E-3</v>
      </c>
      <c r="C36" s="1">
        <f t="shared" si="5"/>
        <v>9189497.1934666075</v>
      </c>
      <c r="D36" s="1">
        <f t="shared" si="0"/>
        <v>9170500.0583968498</v>
      </c>
      <c r="E36" s="1">
        <f t="shared" si="1"/>
        <v>18997.1350697577</v>
      </c>
      <c r="F36">
        <f t="shared" si="2"/>
        <v>0.9979327340038513</v>
      </c>
      <c r="G36" s="1">
        <f>SUM(H36:H$112)</f>
        <v>421115482.48184615</v>
      </c>
      <c r="H36" s="1">
        <f t="shared" si="3"/>
        <v>9179998.6259317286</v>
      </c>
      <c r="I36">
        <f t="shared" si="4"/>
        <v>45.825737101399156</v>
      </c>
    </row>
    <row r="37" spans="1:9" x14ac:dyDescent="0.3">
      <c r="A37">
        <v>34</v>
      </c>
      <c r="B37">
        <v>1.8920131783513199E-3</v>
      </c>
      <c r="C37" s="1">
        <f t="shared" si="5"/>
        <v>9170500.0583968498</v>
      </c>
      <c r="D37" s="1">
        <f t="shared" si="0"/>
        <v>9153149.3514342923</v>
      </c>
      <c r="E37" s="1">
        <f t="shared" si="1"/>
        <v>17350.70696255751</v>
      </c>
      <c r="F37">
        <f t="shared" si="2"/>
        <v>0.99810798682164881</v>
      </c>
      <c r="G37" s="1">
        <f>SUM(H37:H$112)</f>
        <v>411935483.85591441</v>
      </c>
      <c r="H37" s="1">
        <f t="shared" si="3"/>
        <v>9161824.704915572</v>
      </c>
      <c r="I37">
        <f t="shared" si="4"/>
        <v>44.919631561283403</v>
      </c>
    </row>
    <row r="38" spans="1:9" x14ac:dyDescent="0.3">
      <c r="A38">
        <v>35</v>
      </c>
      <c r="B38">
        <v>1.8304153041595701E-3</v>
      </c>
      <c r="C38" s="1">
        <f t="shared" si="5"/>
        <v>9153149.3514342923</v>
      </c>
      <c r="D38" s="1">
        <f t="shared" si="0"/>
        <v>9136395.2867801674</v>
      </c>
      <c r="E38" s="1">
        <f t="shared" si="1"/>
        <v>16754.064654124901</v>
      </c>
      <c r="F38">
        <f t="shared" si="2"/>
        <v>0.99816958469584027</v>
      </c>
      <c r="G38" s="1">
        <f>SUM(H38:H$112)</f>
        <v>402773659.15099877</v>
      </c>
      <c r="H38" s="1">
        <f t="shared" si="3"/>
        <v>9144772.3191072308</v>
      </c>
      <c r="I38">
        <f t="shared" si="4"/>
        <v>44.00383340056441</v>
      </c>
    </row>
    <row r="39" spans="1:9" x14ac:dyDescent="0.3">
      <c r="A39">
        <v>36</v>
      </c>
      <c r="B39">
        <v>2.52801534789617E-3</v>
      </c>
      <c r="C39" s="1">
        <f t="shared" si="5"/>
        <v>9136395.2867801674</v>
      </c>
      <c r="D39" s="1">
        <f t="shared" si="0"/>
        <v>9113298.3392707407</v>
      </c>
      <c r="E39" s="1">
        <f t="shared" si="1"/>
        <v>23096.947509426624</v>
      </c>
      <c r="F39">
        <f t="shared" si="2"/>
        <v>0.99747198465210385</v>
      </c>
      <c r="G39" s="1">
        <f>SUM(H39:H$112)</f>
        <v>393628886.8318916</v>
      </c>
      <c r="H39" s="1">
        <f t="shared" si="3"/>
        <v>9124846.8130254541</v>
      </c>
      <c r="I39">
        <f t="shared" si="4"/>
        <v>43.083609506415478</v>
      </c>
    </row>
    <row r="40" spans="1:9" x14ac:dyDescent="0.3">
      <c r="A40">
        <v>37</v>
      </c>
      <c r="B40">
        <v>2.3754825106467401E-3</v>
      </c>
      <c r="C40" s="1">
        <f t="shared" si="5"/>
        <v>9113298.3392707407</v>
      </c>
      <c r="D40" s="1">
        <f t="shared" si="0"/>
        <v>9091649.8584514968</v>
      </c>
      <c r="E40" s="1">
        <f t="shared" si="1"/>
        <v>21648.480819243938</v>
      </c>
      <c r="F40">
        <f t="shared" si="2"/>
        <v>0.99762451748935321</v>
      </c>
      <c r="G40" s="1">
        <f>SUM(H40:H$112)</f>
        <v>384504040.01886612</v>
      </c>
      <c r="H40" s="1">
        <f t="shared" si="3"/>
        <v>9102474.0988611188</v>
      </c>
      <c r="I40">
        <f t="shared" si="4"/>
        <v>42.191534360504072</v>
      </c>
    </row>
    <row r="41" spans="1:9" x14ac:dyDescent="0.3">
      <c r="A41">
        <v>38</v>
      </c>
      <c r="B41">
        <v>2.1059662846473599E-3</v>
      </c>
      <c r="C41" s="1">
        <f t="shared" si="5"/>
        <v>9091649.8584514968</v>
      </c>
      <c r="D41" s="1">
        <f t="shared" si="0"/>
        <v>9072503.1503777802</v>
      </c>
      <c r="E41" s="1">
        <f t="shared" si="1"/>
        <v>19146.708073716611</v>
      </c>
      <c r="F41">
        <f t="shared" si="2"/>
        <v>0.99789403371535279</v>
      </c>
      <c r="G41" s="1">
        <f>SUM(H41:H$112)</f>
        <v>375401565.9200049</v>
      </c>
      <c r="H41" s="1">
        <f t="shared" si="3"/>
        <v>9082076.5044146385</v>
      </c>
      <c r="I41">
        <f t="shared" si="4"/>
        <v>41.290807693285259</v>
      </c>
    </row>
    <row r="42" spans="1:9" x14ac:dyDescent="0.3">
      <c r="A42">
        <v>39</v>
      </c>
      <c r="B42">
        <v>2.8184782174829098E-3</v>
      </c>
      <c r="C42" s="1">
        <f t="shared" si="5"/>
        <v>9072503.1503777802</v>
      </c>
      <c r="D42" s="1">
        <f t="shared" si="0"/>
        <v>9046932.497870395</v>
      </c>
      <c r="E42" s="1">
        <f t="shared" si="1"/>
        <v>25570.652507385239</v>
      </c>
      <c r="F42">
        <f t="shared" si="2"/>
        <v>0.99718152178251707</v>
      </c>
      <c r="G42" s="1">
        <f>SUM(H42:H$112)</f>
        <v>366319489.41559035</v>
      </c>
      <c r="H42" s="1">
        <f t="shared" si="3"/>
        <v>9059717.8241240866</v>
      </c>
      <c r="I42">
        <f t="shared" si="4"/>
        <v>40.376893051873644</v>
      </c>
    </row>
    <row r="43" spans="1:9" x14ac:dyDescent="0.3">
      <c r="A43">
        <v>40</v>
      </c>
      <c r="B43">
        <v>2.7778963773961102E-3</v>
      </c>
      <c r="C43" s="1">
        <f t="shared" si="5"/>
        <v>9046932.497870395</v>
      </c>
      <c r="D43" s="1">
        <f t="shared" si="0"/>
        <v>9021801.0568580143</v>
      </c>
      <c r="E43" s="1">
        <f t="shared" si="1"/>
        <v>25131.441012380645</v>
      </c>
      <c r="F43">
        <f t="shared" si="2"/>
        <v>0.99722210362260399</v>
      </c>
      <c r="G43" s="1">
        <f>SUM(H43:H$112)</f>
        <v>357259771.59146625</v>
      </c>
      <c r="H43" s="1">
        <f t="shared" si="3"/>
        <v>9034366.7773642056</v>
      </c>
      <c r="I43">
        <f t="shared" si="4"/>
        <v>39.489602876506872</v>
      </c>
    </row>
    <row r="44" spans="1:9" x14ac:dyDescent="0.3">
      <c r="A44">
        <v>41</v>
      </c>
      <c r="B44">
        <v>2.49384966650562E-3</v>
      </c>
      <c r="C44" s="1">
        <f t="shared" si="5"/>
        <v>9021801.0568580143</v>
      </c>
      <c r="D44" s="1">
        <f t="shared" si="0"/>
        <v>8999302.0413010903</v>
      </c>
      <c r="E44" s="1">
        <f t="shared" si="1"/>
        <v>22499.015556924045</v>
      </c>
      <c r="F44">
        <f t="shared" si="2"/>
        <v>0.99750615033349455</v>
      </c>
      <c r="G44" s="1">
        <f>SUM(H44:H$112)</f>
        <v>348225404.81410211</v>
      </c>
      <c r="H44" s="1">
        <f t="shared" si="3"/>
        <v>9010551.5490795523</v>
      </c>
      <c r="I44">
        <f t="shared" si="4"/>
        <v>38.59821366260288</v>
      </c>
    </row>
    <row r="45" spans="1:9" x14ac:dyDescent="0.3">
      <c r="A45">
        <v>42</v>
      </c>
      <c r="B45">
        <v>2.6428836565312798E-3</v>
      </c>
      <c r="C45" s="1">
        <f t="shared" si="5"/>
        <v>8999302.0413010903</v>
      </c>
      <c r="D45" s="1">
        <f t="shared" si="0"/>
        <v>8975517.9330159463</v>
      </c>
      <c r="E45" s="1">
        <f t="shared" si="1"/>
        <v>23784.108285143971</v>
      </c>
      <c r="F45">
        <f t="shared" si="2"/>
        <v>0.99735711634346869</v>
      </c>
      <c r="G45" s="1">
        <f>SUM(H45:H$112)</f>
        <v>339214853.26502246</v>
      </c>
      <c r="H45" s="1">
        <f t="shared" si="3"/>
        <v>8987409.9871585183</v>
      </c>
      <c r="I45">
        <f t="shared" si="4"/>
        <v>37.693462416111977</v>
      </c>
    </row>
    <row r="46" spans="1:9" x14ac:dyDescent="0.3">
      <c r="A46">
        <v>43</v>
      </c>
      <c r="B46">
        <v>3.0605803580988399E-3</v>
      </c>
      <c r="C46" s="1">
        <f t="shared" si="5"/>
        <v>8975517.9330159463</v>
      </c>
      <c r="D46" s="1">
        <f t="shared" si="0"/>
        <v>8948047.6391263939</v>
      </c>
      <c r="E46" s="1">
        <f t="shared" si="1"/>
        <v>27470.293889552355</v>
      </c>
      <c r="F46">
        <f t="shared" si="2"/>
        <v>0.99693941964190114</v>
      </c>
      <c r="G46" s="1">
        <f>SUM(H46:H$112)</f>
        <v>330227443.27786404</v>
      </c>
      <c r="H46" s="1">
        <f t="shared" si="3"/>
        <v>8961782.7860711701</v>
      </c>
      <c r="I46">
        <f t="shared" si="4"/>
        <v>36.792020888637595</v>
      </c>
    </row>
    <row r="47" spans="1:9" x14ac:dyDescent="0.3">
      <c r="A47">
        <v>44</v>
      </c>
      <c r="B47">
        <v>3.0566575104915002E-3</v>
      </c>
      <c r="C47" s="1">
        <f t="shared" si="5"/>
        <v>8948047.6391263939</v>
      </c>
      <c r="D47" s="1">
        <f t="shared" si="0"/>
        <v>8920696.5221060235</v>
      </c>
      <c r="E47" s="1">
        <f t="shared" si="1"/>
        <v>27351.117020370439</v>
      </c>
      <c r="F47">
        <f t="shared" si="2"/>
        <v>0.99694334248950867</v>
      </c>
      <c r="G47" s="1">
        <f>SUM(H47:H$112)</f>
        <v>321265660.49179274</v>
      </c>
      <c r="H47" s="1">
        <f t="shared" si="3"/>
        <v>8934372.0806162097</v>
      </c>
      <c r="I47">
        <f t="shared" si="4"/>
        <v>35.903436531453046</v>
      </c>
    </row>
    <row r="48" spans="1:9" x14ac:dyDescent="0.3">
      <c r="A48">
        <v>45</v>
      </c>
      <c r="B48">
        <v>3.0609970989532199E-3</v>
      </c>
      <c r="C48" s="1">
        <f t="shared" si="5"/>
        <v>8920696.5221060235</v>
      </c>
      <c r="D48" s="1">
        <f t="shared" si="0"/>
        <v>8893390.2959312145</v>
      </c>
      <c r="E48" s="1">
        <f t="shared" si="1"/>
        <v>27306.226174809039</v>
      </c>
      <c r="F48">
        <f t="shared" si="2"/>
        <v>0.99693900290104676</v>
      </c>
      <c r="G48" s="1">
        <f>SUM(H48:H$112)</f>
        <v>312331288.4111765</v>
      </c>
      <c r="H48" s="1">
        <f t="shared" si="3"/>
        <v>8907043.409018619</v>
      </c>
      <c r="I48">
        <f t="shared" si="4"/>
        <v>35.011984505604552</v>
      </c>
    </row>
    <row r="49" spans="1:9" x14ac:dyDescent="0.3">
      <c r="A49">
        <v>46</v>
      </c>
      <c r="B49">
        <v>3.3944609462374501E-3</v>
      </c>
      <c r="C49" s="1">
        <f t="shared" si="5"/>
        <v>8893390.2959312145</v>
      </c>
      <c r="D49" s="1">
        <f t="shared" si="0"/>
        <v>8863202.0298920292</v>
      </c>
      <c r="E49" s="1">
        <f t="shared" si="1"/>
        <v>30188.266039185226</v>
      </c>
      <c r="F49">
        <f t="shared" si="2"/>
        <v>0.99660553905376259</v>
      </c>
      <c r="G49" s="1">
        <f>SUM(H49:H$112)</f>
        <v>303424245.00215799</v>
      </c>
      <c r="H49" s="1">
        <f t="shared" si="3"/>
        <v>8878296.1629116219</v>
      </c>
      <c r="I49">
        <f t="shared" si="4"/>
        <v>34.117949949973138</v>
      </c>
    </row>
    <row r="50" spans="1:9" x14ac:dyDescent="0.3">
      <c r="A50">
        <v>47</v>
      </c>
      <c r="B50">
        <v>3.6335193821968401E-3</v>
      </c>
      <c r="C50" s="1">
        <f t="shared" si="5"/>
        <v>8863202.0298920292</v>
      </c>
      <c r="D50" s="1">
        <f t="shared" si="0"/>
        <v>8830997.4135280903</v>
      </c>
      <c r="E50" s="1">
        <f t="shared" si="1"/>
        <v>32204.616363938898</v>
      </c>
      <c r="F50">
        <f t="shared" si="2"/>
        <v>0.9963664806178032</v>
      </c>
      <c r="G50" s="1">
        <f>SUM(H50:H$112)</f>
        <v>294545948.83924633</v>
      </c>
      <c r="H50" s="1">
        <f t="shared" si="3"/>
        <v>8847099.7217100598</v>
      </c>
      <c r="I50">
        <f t="shared" si="4"/>
        <v>33.232453445815729</v>
      </c>
    </row>
    <row r="51" spans="1:9" x14ac:dyDescent="0.3">
      <c r="A51">
        <v>48</v>
      </c>
      <c r="B51">
        <v>3.77769347918372E-3</v>
      </c>
      <c r="C51" s="1">
        <f t="shared" si="5"/>
        <v>8830997.4135280903</v>
      </c>
      <c r="D51" s="1">
        <f t="shared" si="0"/>
        <v>8797636.6121843159</v>
      </c>
      <c r="E51" s="1">
        <f t="shared" si="1"/>
        <v>33360.801343774423</v>
      </c>
      <c r="F51">
        <f t="shared" si="2"/>
        <v>0.99622230652081611</v>
      </c>
      <c r="G51" s="1">
        <f>SUM(H51:H$112)</f>
        <v>285698849.11753637</v>
      </c>
      <c r="H51" s="1">
        <f t="shared" si="3"/>
        <v>8814317.0128562041</v>
      </c>
      <c r="I51">
        <f t="shared" si="4"/>
        <v>32.351821174794821</v>
      </c>
    </row>
    <row r="52" spans="1:9" x14ac:dyDescent="0.3">
      <c r="A52">
        <v>49</v>
      </c>
      <c r="B52">
        <v>3.5861897558635602E-3</v>
      </c>
      <c r="C52" s="1">
        <f t="shared" si="5"/>
        <v>8797636.6121843159</v>
      </c>
      <c r="D52" s="1">
        <f t="shared" si="0"/>
        <v>8766086.6178898904</v>
      </c>
      <c r="E52" s="1">
        <f t="shared" si="1"/>
        <v>31549.994294425473</v>
      </c>
      <c r="F52">
        <f t="shared" si="2"/>
        <v>0.99641381024413644</v>
      </c>
      <c r="G52" s="1">
        <f>SUM(H52:H$112)</f>
        <v>276884532.10468012</v>
      </c>
      <c r="H52" s="1">
        <f t="shared" si="3"/>
        <v>8781861.6150371023</v>
      </c>
      <c r="I52">
        <f t="shared" si="4"/>
        <v>31.472603871954426</v>
      </c>
    </row>
    <row r="53" spans="1:9" x14ac:dyDescent="0.3">
      <c r="A53">
        <v>50</v>
      </c>
      <c r="B53">
        <v>4.1332601137460401E-3</v>
      </c>
      <c r="C53" s="1">
        <f t="shared" si="5"/>
        <v>8766086.6178898904</v>
      </c>
      <c r="D53" s="1">
        <f t="shared" si="0"/>
        <v>8729854.1017185226</v>
      </c>
      <c r="E53" s="1">
        <f t="shared" si="1"/>
        <v>36232.516171367839</v>
      </c>
      <c r="F53">
        <f t="shared" si="2"/>
        <v>0.99586673988625385</v>
      </c>
      <c r="G53" s="1">
        <f>SUM(H53:H$112)</f>
        <v>268102670.48964307</v>
      </c>
      <c r="H53" s="1">
        <f t="shared" si="3"/>
        <v>8747970.3598042056</v>
      </c>
      <c r="I53">
        <f t="shared" si="4"/>
        <v>30.584077271435724</v>
      </c>
    </row>
    <row r="54" spans="1:9" x14ac:dyDescent="0.3">
      <c r="A54">
        <v>51</v>
      </c>
      <c r="B54">
        <v>3.7740293241186901E-3</v>
      </c>
      <c r="C54" s="1">
        <f t="shared" si="5"/>
        <v>8729854.1017185226</v>
      </c>
      <c r="D54" s="1">
        <f t="shared" si="0"/>
        <v>8696907.3763433583</v>
      </c>
      <c r="E54" s="1">
        <f t="shared" si="1"/>
        <v>32946.7253751643</v>
      </c>
      <c r="F54">
        <f t="shared" si="2"/>
        <v>0.99622597067588126</v>
      </c>
      <c r="G54" s="1">
        <f>SUM(H54:H$112)</f>
        <v>259354700.12983885</v>
      </c>
      <c r="H54" s="1">
        <f t="shared" si="3"/>
        <v>8713380.7390309405</v>
      </c>
      <c r="I54">
        <f t="shared" si="4"/>
        <v>29.708938672730323</v>
      </c>
    </row>
    <row r="55" spans="1:9" x14ac:dyDescent="0.3">
      <c r="A55">
        <v>52</v>
      </c>
      <c r="B55">
        <v>4.2622734299724496E-3</v>
      </c>
      <c r="C55" s="1">
        <f t="shared" si="5"/>
        <v>8696907.3763433583</v>
      </c>
      <c r="D55" s="1">
        <f t="shared" si="0"/>
        <v>8659838.779110238</v>
      </c>
      <c r="E55" s="1">
        <f t="shared" si="1"/>
        <v>37068.597233120352</v>
      </c>
      <c r="F55">
        <f t="shared" si="2"/>
        <v>0.99573772657002746</v>
      </c>
      <c r="G55" s="1">
        <f>SUM(H55:H$112)</f>
        <v>250641319.39080796</v>
      </c>
      <c r="H55" s="1">
        <f t="shared" si="3"/>
        <v>8678373.0777267981</v>
      </c>
      <c r="I55">
        <f t="shared" si="4"/>
        <v>28.819591671469642</v>
      </c>
    </row>
    <row r="56" spans="1:9" x14ac:dyDescent="0.3">
      <c r="A56">
        <v>53</v>
      </c>
      <c r="B56">
        <v>4.2180702543515797E-3</v>
      </c>
      <c r="C56" s="1">
        <f t="shared" si="5"/>
        <v>8659838.779110238</v>
      </c>
      <c r="D56" s="1">
        <f t="shared" si="0"/>
        <v>8623310.9707485922</v>
      </c>
      <c r="E56" s="1">
        <f t="shared" si="1"/>
        <v>36527.808361645788</v>
      </c>
      <c r="F56">
        <f t="shared" si="2"/>
        <v>0.99578192974564839</v>
      </c>
      <c r="G56" s="1">
        <f>SUM(H56:H$112)</f>
        <v>241962946.31308112</v>
      </c>
      <c r="H56" s="1">
        <f t="shared" si="3"/>
        <v>8641574.8749294151</v>
      </c>
      <c r="I56">
        <f t="shared" si="4"/>
        <v>27.940814198153213</v>
      </c>
    </row>
    <row r="57" spans="1:9" x14ac:dyDescent="0.3">
      <c r="A57">
        <v>54</v>
      </c>
      <c r="B57">
        <v>4.8988678470139498E-3</v>
      </c>
      <c r="C57" s="1">
        <f t="shared" si="5"/>
        <v>8623310.9707485922</v>
      </c>
      <c r="D57" s="1">
        <f t="shared" si="0"/>
        <v>8581066.5098991897</v>
      </c>
      <c r="E57" s="1">
        <f t="shared" si="1"/>
        <v>42244.460849402472</v>
      </c>
      <c r="F57">
        <f t="shared" si="2"/>
        <v>0.99510113215298612</v>
      </c>
      <c r="G57" s="1">
        <f>SUM(H57:H$112)</f>
        <v>233321371.43815175</v>
      </c>
      <c r="H57" s="1">
        <f t="shared" si="3"/>
        <v>8602188.74032389</v>
      </c>
      <c r="I57">
        <f t="shared" si="4"/>
        <v>27.05705177855798</v>
      </c>
    </row>
    <row r="58" spans="1:9" x14ac:dyDescent="0.3">
      <c r="A58">
        <v>55</v>
      </c>
      <c r="B58">
        <v>4.9262382766404799E-3</v>
      </c>
      <c r="C58" s="1">
        <f t="shared" si="5"/>
        <v>8581066.5098991897</v>
      </c>
      <c r="D58" s="1">
        <f t="shared" si="0"/>
        <v>8538794.1316037271</v>
      </c>
      <c r="E58" s="1">
        <f t="shared" si="1"/>
        <v>42272.378295462579</v>
      </c>
      <c r="F58">
        <f t="shared" si="2"/>
        <v>0.9950737617233596</v>
      </c>
      <c r="G58" s="1">
        <f>SUM(H58:H$112)</f>
        <v>224719182.69782785</v>
      </c>
      <c r="H58" s="1">
        <f t="shared" si="3"/>
        <v>8559930.3207514584</v>
      </c>
      <c r="I58">
        <f t="shared" si="4"/>
        <v>26.18779174343771</v>
      </c>
    </row>
    <row r="59" spans="1:9" x14ac:dyDescent="0.3">
      <c r="A59">
        <v>56</v>
      </c>
      <c r="B59">
        <v>5.2344987263996702E-3</v>
      </c>
      <c r="C59" s="1">
        <f t="shared" si="5"/>
        <v>8538794.1316037271</v>
      </c>
      <c r="D59" s="1">
        <f t="shared" si="0"/>
        <v>8494097.8245968577</v>
      </c>
      <c r="E59" s="1">
        <f t="shared" si="1"/>
        <v>44696.307006869465</v>
      </c>
      <c r="F59">
        <f t="shared" si="2"/>
        <v>0.99476550127360019</v>
      </c>
      <c r="G59" s="1">
        <f>SUM(H59:H$112)</f>
        <v>216159252.37707636</v>
      </c>
      <c r="H59" s="1">
        <f t="shared" si="3"/>
        <v>8516445.9781002924</v>
      </c>
      <c r="I59">
        <f t="shared" si="4"/>
        <v>25.314962399319267</v>
      </c>
    </row>
    <row r="60" spans="1:9" x14ac:dyDescent="0.3">
      <c r="A60">
        <v>57</v>
      </c>
      <c r="B60">
        <v>5.3080058345439602E-3</v>
      </c>
      <c r="C60" s="1">
        <f t="shared" si="5"/>
        <v>8494097.8245968577</v>
      </c>
      <c r="D60" s="1">
        <f t="shared" si="0"/>
        <v>8449011.1037847102</v>
      </c>
      <c r="E60" s="1">
        <f t="shared" si="1"/>
        <v>45086.720812147483</v>
      </c>
      <c r="F60">
        <f t="shared" si="2"/>
        <v>0.99469199416545606</v>
      </c>
      <c r="G60" s="1">
        <f>SUM(H60:H$112)</f>
        <v>207642806.39897606</v>
      </c>
      <c r="H60" s="1">
        <f t="shared" si="3"/>
        <v>8471554.4641907848</v>
      </c>
      <c r="I60">
        <f t="shared" si="4"/>
        <v>24.445539795608735</v>
      </c>
    </row>
    <row r="61" spans="1:9" x14ac:dyDescent="0.3">
      <c r="A61">
        <v>58</v>
      </c>
      <c r="B61">
        <v>6.0032537845932698E-3</v>
      </c>
      <c r="C61" s="1">
        <f t="shared" si="5"/>
        <v>8449011.1037847102</v>
      </c>
      <c r="D61" s="1">
        <f t="shared" si="0"/>
        <v>8398289.5458998438</v>
      </c>
      <c r="E61" s="1">
        <f t="shared" si="1"/>
        <v>50721.557884866372</v>
      </c>
      <c r="F61">
        <f t="shared" si="2"/>
        <v>0.99399674621540668</v>
      </c>
      <c r="G61" s="1">
        <f>SUM(H61:H$112)</f>
        <v>199171251.93478534</v>
      </c>
      <c r="H61" s="1">
        <f t="shared" si="3"/>
        <v>8423650.3248422779</v>
      </c>
      <c r="I61">
        <f t="shared" si="4"/>
        <v>23.573321124594941</v>
      </c>
    </row>
    <row r="62" spans="1:9" x14ac:dyDescent="0.3">
      <c r="A62">
        <v>59</v>
      </c>
      <c r="B62">
        <v>6.2305927171141303E-3</v>
      </c>
      <c r="C62" s="1">
        <f t="shared" si="5"/>
        <v>8398289.5458998438</v>
      </c>
      <c r="D62" s="1">
        <f t="shared" si="0"/>
        <v>8345963.2242189441</v>
      </c>
      <c r="E62" s="1">
        <f t="shared" si="1"/>
        <v>52326.321680899709</v>
      </c>
      <c r="F62">
        <f t="shared" si="2"/>
        <v>0.99376940728288587</v>
      </c>
      <c r="G62" s="1">
        <f>SUM(H62:H$112)</f>
        <v>190747601.609943</v>
      </c>
      <c r="H62" s="1">
        <f t="shared" si="3"/>
        <v>8372126.3850593939</v>
      </c>
      <c r="I62">
        <f t="shared" si="4"/>
        <v>22.712672689770326</v>
      </c>
    </row>
    <row r="63" spans="1:9" x14ac:dyDescent="0.3">
      <c r="A63">
        <v>60</v>
      </c>
      <c r="B63">
        <v>7.3784713640910604E-3</v>
      </c>
      <c r="C63" s="1">
        <f t="shared" si="5"/>
        <v>8345963.2242189441</v>
      </c>
      <c r="D63" s="1">
        <f t="shared" si="0"/>
        <v>8284382.7735632872</v>
      </c>
      <c r="E63" s="1">
        <f t="shared" si="1"/>
        <v>61580.450655656867</v>
      </c>
      <c r="F63">
        <f t="shared" si="2"/>
        <v>0.99262152863590891</v>
      </c>
      <c r="G63" s="1">
        <f>SUM(H63:H$112)</f>
        <v>182375475.22488365</v>
      </c>
      <c r="H63" s="1">
        <f t="shared" si="3"/>
        <v>8315172.9988911152</v>
      </c>
      <c r="I63">
        <f t="shared" si="4"/>
        <v>21.85193851509587</v>
      </c>
    </row>
    <row r="64" spans="1:9" x14ac:dyDescent="0.3">
      <c r="A64">
        <v>61</v>
      </c>
      <c r="B64">
        <v>7.9801862016319596E-3</v>
      </c>
      <c r="C64" s="1">
        <f t="shared" si="5"/>
        <v>8284382.7735632872</v>
      </c>
      <c r="D64" s="1">
        <f t="shared" si="0"/>
        <v>8218271.8564646598</v>
      </c>
      <c r="E64" s="1">
        <f t="shared" si="1"/>
        <v>66110.917098627426</v>
      </c>
      <c r="F64">
        <f t="shared" si="2"/>
        <v>0.99201981379836801</v>
      </c>
      <c r="G64" s="1">
        <f>SUM(H64:H$112)</f>
        <v>174060302.22599247</v>
      </c>
      <c r="H64" s="1">
        <f t="shared" si="3"/>
        <v>8251327.315013973</v>
      </c>
      <c r="I64">
        <f t="shared" si="4"/>
        <v>21.010654261587852</v>
      </c>
    </row>
    <row r="65" spans="1:9" x14ac:dyDescent="0.3">
      <c r="A65">
        <v>62</v>
      </c>
      <c r="B65">
        <v>8.4253594701529308E-3</v>
      </c>
      <c r="C65" s="1">
        <f t="shared" si="5"/>
        <v>8218271.8564646598</v>
      </c>
      <c r="D65" s="1">
        <f t="shared" si="0"/>
        <v>8149029.9618505044</v>
      </c>
      <c r="E65" s="1">
        <f t="shared" si="1"/>
        <v>69241.894614155404</v>
      </c>
      <c r="F65">
        <f t="shared" si="2"/>
        <v>0.99157464052984712</v>
      </c>
      <c r="G65" s="1">
        <f>SUM(H65:H$112)</f>
        <v>165808974.91097853</v>
      </c>
      <c r="H65" s="1">
        <f t="shared" si="3"/>
        <v>8183650.9091575816</v>
      </c>
      <c r="I65">
        <f t="shared" si="4"/>
        <v>20.175649796806102</v>
      </c>
    </row>
    <row r="66" spans="1:9" x14ac:dyDescent="0.3">
      <c r="A66">
        <v>63</v>
      </c>
      <c r="B66">
        <v>9.1418616424406903E-3</v>
      </c>
      <c r="C66" s="1">
        <f t="shared" si="5"/>
        <v>8149029.9618505044</v>
      </c>
      <c r="D66" s="1">
        <f t="shared" si="0"/>
        <v>8074532.6574191637</v>
      </c>
      <c r="E66" s="1">
        <f t="shared" si="1"/>
        <v>74497.304431340657</v>
      </c>
      <c r="F66">
        <f t="shared" si="2"/>
        <v>0.99085813835755931</v>
      </c>
      <c r="G66" s="1">
        <f>SUM(H66:H$112)</f>
        <v>157625324.00182095</v>
      </c>
      <c r="H66" s="1">
        <f t="shared" si="3"/>
        <v>8111781.3096348345</v>
      </c>
      <c r="I66">
        <f t="shared" si="4"/>
        <v>19.342832796018701</v>
      </c>
    </row>
    <row r="67" spans="1:9" x14ac:dyDescent="0.3">
      <c r="A67">
        <v>64</v>
      </c>
      <c r="B67">
        <v>1.11176155215588E-2</v>
      </c>
      <c r="C67" s="1">
        <f t="shared" si="5"/>
        <v>8074532.6574191637</v>
      </c>
      <c r="D67" s="1">
        <f t="shared" si="0"/>
        <v>7984763.1078177076</v>
      </c>
      <c r="E67" s="1">
        <f t="shared" si="1"/>
        <v>89769.54960145615</v>
      </c>
      <c r="F67">
        <f t="shared" si="2"/>
        <v>0.98888238447844123</v>
      </c>
      <c r="G67" s="1">
        <f>SUM(H67:H$112)</f>
        <v>149513542.69218612</v>
      </c>
      <c r="H67" s="1">
        <f t="shared" si="3"/>
        <v>8029647.8826184357</v>
      </c>
      <c r="I67">
        <f t="shared" si="4"/>
        <v>18.516680659506385</v>
      </c>
    </row>
    <row r="68" spans="1:9" x14ac:dyDescent="0.3">
      <c r="A68">
        <v>65</v>
      </c>
      <c r="B68">
        <v>1.6095994696186101E-2</v>
      </c>
      <c r="C68" s="1">
        <f t="shared" si="5"/>
        <v>7984763.1078177076</v>
      </c>
      <c r="D68" s="1">
        <f t="shared" ref="D68:D113" si="6">C69</f>
        <v>7856240.4031839715</v>
      </c>
      <c r="E68" s="1">
        <f t="shared" ref="E68:E113" si="7">C68-D68</f>
        <v>128522.70463373605</v>
      </c>
      <c r="F68">
        <f t="shared" ref="F68:F113" si="8">D68/C68</f>
        <v>0.98390400530381394</v>
      </c>
      <c r="G68" s="1">
        <f>SUM(H68:H$112)</f>
        <v>141483894.80956769</v>
      </c>
      <c r="H68" s="1">
        <f t="shared" ref="H68:H113" si="9">AVERAGE(C68:D68)</f>
        <v>7920501.75550084</v>
      </c>
      <c r="I68">
        <f t="shared" ref="I68:I113" si="10">G68/C68</f>
        <v>17.719235110562504</v>
      </c>
    </row>
    <row r="69" spans="1:9" x14ac:dyDescent="0.3">
      <c r="A69">
        <v>66</v>
      </c>
      <c r="B69">
        <v>1.8107970911413002E-2</v>
      </c>
      <c r="C69" s="1">
        <f t="shared" ref="C69:C113" si="11">C68*(1-B68)</f>
        <v>7856240.4031839715</v>
      </c>
      <c r="D69" s="1">
        <f t="shared" si="6"/>
        <v>7713979.830490048</v>
      </c>
      <c r="E69" s="1">
        <f t="shared" si="7"/>
        <v>142260.57269392349</v>
      </c>
      <c r="F69">
        <f t="shared" si="8"/>
        <v>0.98189202908858697</v>
      </c>
      <c r="G69" s="1">
        <f>SUM(H69:H$112)</f>
        <v>133563393.05406681</v>
      </c>
      <c r="H69" s="1">
        <f t="shared" si="9"/>
        <v>7785110.1168370098</v>
      </c>
      <c r="I69">
        <f t="shared" si="10"/>
        <v>17.00092998680849</v>
      </c>
    </row>
    <row r="70" spans="1:9" x14ac:dyDescent="0.3">
      <c r="A70">
        <v>67</v>
      </c>
      <c r="B70">
        <v>1.9753065779066901E-2</v>
      </c>
      <c r="C70" s="1">
        <f t="shared" si="11"/>
        <v>7713979.830490048</v>
      </c>
      <c r="D70" s="1">
        <f t="shared" si="6"/>
        <v>7561605.0794799831</v>
      </c>
      <c r="E70" s="1">
        <f t="shared" si="7"/>
        <v>152374.75101006497</v>
      </c>
      <c r="F70">
        <f t="shared" si="8"/>
        <v>0.98024693422093312</v>
      </c>
      <c r="G70" s="1">
        <f>SUM(H70:H$112)</f>
        <v>125778282.93722981</v>
      </c>
      <c r="H70" s="1">
        <f t="shared" si="9"/>
        <v>7637792.4549850151</v>
      </c>
      <c r="I70">
        <f t="shared" si="10"/>
        <v>16.30523876146037</v>
      </c>
    </row>
    <row r="71" spans="1:9" x14ac:dyDescent="0.3">
      <c r="A71">
        <v>68</v>
      </c>
      <c r="B71">
        <v>2.2090754862385702E-2</v>
      </c>
      <c r="C71" s="1">
        <f t="shared" si="11"/>
        <v>7561605.0794799831</v>
      </c>
      <c r="D71" s="1">
        <f t="shared" si="6"/>
        <v>7394563.5153030204</v>
      </c>
      <c r="E71" s="1">
        <f t="shared" si="7"/>
        <v>167041.56417696271</v>
      </c>
      <c r="F71">
        <f t="shared" si="8"/>
        <v>0.97790924513761435</v>
      </c>
      <c r="G71" s="1">
        <f>SUM(H71:H$112)</f>
        <v>118140490.48224479</v>
      </c>
      <c r="H71" s="1">
        <f t="shared" si="9"/>
        <v>7478084.2973915022</v>
      </c>
      <c r="I71">
        <f t="shared" si="10"/>
        <v>15.623731898250549</v>
      </c>
    </row>
    <row r="72" spans="1:9" x14ac:dyDescent="0.3">
      <c r="A72">
        <v>69</v>
      </c>
      <c r="B72">
        <v>2.3571069665301599E-2</v>
      </c>
      <c r="C72" s="1">
        <f t="shared" si="11"/>
        <v>7394563.5153030204</v>
      </c>
      <c r="D72" s="1">
        <f t="shared" si="6"/>
        <v>7220265.7435393147</v>
      </c>
      <c r="E72" s="1">
        <f t="shared" si="7"/>
        <v>174297.77176370565</v>
      </c>
      <c r="F72">
        <f t="shared" si="8"/>
        <v>0.97642893033469835</v>
      </c>
      <c r="G72" s="1">
        <f>SUM(H72:H$112)</f>
        <v>110662406.18485329</v>
      </c>
      <c r="H72" s="1">
        <f t="shared" si="9"/>
        <v>7307414.6294211671</v>
      </c>
      <c r="I72">
        <f t="shared" si="10"/>
        <v>14.965373677004447</v>
      </c>
    </row>
    <row r="73" spans="1:9" x14ac:dyDescent="0.3">
      <c r="A73">
        <v>70</v>
      </c>
      <c r="B73">
        <v>2.68115349431844E-2</v>
      </c>
      <c r="C73" s="1">
        <f t="shared" si="11"/>
        <v>7220265.7435393147</v>
      </c>
      <c r="D73" s="1">
        <f t="shared" si="6"/>
        <v>7026679.3362573329</v>
      </c>
      <c r="E73" s="1">
        <f t="shared" si="7"/>
        <v>193586.40728198178</v>
      </c>
      <c r="F73">
        <f t="shared" si="8"/>
        <v>0.97318846505681555</v>
      </c>
      <c r="G73" s="1">
        <f>SUM(H73:H$112)</f>
        <v>103354991.55543211</v>
      </c>
      <c r="H73" s="1">
        <f t="shared" si="9"/>
        <v>7123472.5398983238</v>
      </c>
      <c r="I73">
        <f t="shared" si="10"/>
        <v>14.31456891291211</v>
      </c>
    </row>
    <row r="74" spans="1:9" x14ac:dyDescent="0.3">
      <c r="A74">
        <v>71</v>
      </c>
      <c r="B74">
        <v>2.8335807336038701E-2</v>
      </c>
      <c r="C74" s="1">
        <f t="shared" si="11"/>
        <v>7026679.3362573329</v>
      </c>
      <c r="D74" s="1">
        <f t="shared" si="6"/>
        <v>6827572.7043730207</v>
      </c>
      <c r="E74" s="1">
        <f t="shared" si="7"/>
        <v>199106.63188431226</v>
      </c>
      <c r="F74">
        <f t="shared" si="8"/>
        <v>0.97166419266396131</v>
      </c>
      <c r="G74" s="1">
        <f>SUM(H74:H$112)</f>
        <v>96231519.01553379</v>
      </c>
      <c r="H74" s="1">
        <f t="shared" si="9"/>
        <v>6927126.0203151768</v>
      </c>
      <c r="I74">
        <f t="shared" si="10"/>
        <v>13.695163022308945</v>
      </c>
    </row>
    <row r="75" spans="1:9" x14ac:dyDescent="0.3">
      <c r="A75">
        <v>72</v>
      </c>
      <c r="B75">
        <v>2.95733553248963E-2</v>
      </c>
      <c r="C75" s="1">
        <f t="shared" si="11"/>
        <v>6827572.7043730207</v>
      </c>
      <c r="D75" s="1">
        <f t="shared" si="6"/>
        <v>6625658.4707800345</v>
      </c>
      <c r="E75" s="1">
        <f t="shared" si="7"/>
        <v>201914.23359298613</v>
      </c>
      <c r="F75">
        <f t="shared" si="8"/>
        <v>0.97042664467510376</v>
      </c>
      <c r="G75" s="1">
        <f>SUM(H75:H$112)</f>
        <v>89304392.995218605</v>
      </c>
      <c r="H75" s="1">
        <f t="shared" si="9"/>
        <v>6726615.5875765271</v>
      </c>
      <c r="I75">
        <f t="shared" si="10"/>
        <v>13.079962215271564</v>
      </c>
    </row>
    <row r="76" spans="1:9" x14ac:dyDescent="0.3">
      <c r="A76">
        <v>73</v>
      </c>
      <c r="B76">
        <v>3.1338835224826202E-2</v>
      </c>
      <c r="C76" s="1">
        <f t="shared" si="11"/>
        <v>6625658.4707800345</v>
      </c>
      <c r="D76" s="1">
        <f t="shared" si="6"/>
        <v>6418018.0517082857</v>
      </c>
      <c r="E76" s="1">
        <f t="shared" si="7"/>
        <v>207640.41907174885</v>
      </c>
      <c r="F76">
        <f t="shared" si="8"/>
        <v>0.96866116477517394</v>
      </c>
      <c r="G76" s="1">
        <f>SUM(H76:H$112)</f>
        <v>82577777.407642081</v>
      </c>
      <c r="H76" s="1">
        <f t="shared" si="9"/>
        <v>6521838.2612441601</v>
      </c>
      <c r="I76">
        <f t="shared" si="10"/>
        <v>12.463331421596841</v>
      </c>
    </row>
    <row r="77" spans="1:9" x14ac:dyDescent="0.3">
      <c r="A77">
        <v>74</v>
      </c>
      <c r="B77">
        <v>3.4706161699783501E-2</v>
      </c>
      <c r="C77" s="1">
        <f t="shared" si="11"/>
        <v>6418018.0517082857</v>
      </c>
      <c r="D77" s="1">
        <f t="shared" si="6"/>
        <v>6195273.2794135688</v>
      </c>
      <c r="E77" s="1">
        <f t="shared" si="7"/>
        <v>222744.77229471691</v>
      </c>
      <c r="F77">
        <f t="shared" si="8"/>
        <v>0.96529383830021653</v>
      </c>
      <c r="G77" s="1">
        <f>SUM(H77:H$112)</f>
        <v>76055939.146397933</v>
      </c>
      <c r="H77" s="1">
        <f t="shared" si="9"/>
        <v>6306645.6655609272</v>
      </c>
      <c r="I77">
        <f t="shared" si="10"/>
        <v>11.850377878908287</v>
      </c>
    </row>
    <row r="78" spans="1:9" x14ac:dyDescent="0.3">
      <c r="A78">
        <v>75</v>
      </c>
      <c r="B78">
        <v>3.3733799525178403E-2</v>
      </c>
      <c r="C78" s="1">
        <f t="shared" si="11"/>
        <v>6195273.2794135688</v>
      </c>
      <c r="D78" s="1">
        <f t="shared" si="6"/>
        <v>5986283.1726021366</v>
      </c>
      <c r="E78" s="1">
        <f t="shared" si="7"/>
        <v>208990.10681143217</v>
      </c>
      <c r="F78">
        <f t="shared" si="8"/>
        <v>0.96626620047482159</v>
      </c>
      <c r="G78" s="1">
        <f>SUM(H78:H$112)</f>
        <v>69749293.480837002</v>
      </c>
      <c r="H78" s="1">
        <f t="shared" si="9"/>
        <v>6090778.2260078527</v>
      </c>
      <c r="I78">
        <f t="shared" si="10"/>
        <v>11.258469212747839</v>
      </c>
    </row>
    <row r="79" spans="1:9" x14ac:dyDescent="0.3">
      <c r="A79">
        <v>76</v>
      </c>
      <c r="B79">
        <v>3.9181694915522002E-2</v>
      </c>
      <c r="C79" s="1">
        <f t="shared" si="11"/>
        <v>5986283.1726021366</v>
      </c>
      <c r="D79" s="1">
        <f t="shared" si="6"/>
        <v>5751730.4516553162</v>
      </c>
      <c r="E79" s="1">
        <f t="shared" si="7"/>
        <v>234552.72094682045</v>
      </c>
      <c r="F79">
        <f t="shared" si="8"/>
        <v>0.96081830508447796</v>
      </c>
      <c r="G79" s="1">
        <f>SUM(H79:H$112)</f>
        <v>63658515.254829139</v>
      </c>
      <c r="H79" s="1">
        <f t="shared" si="9"/>
        <v>5869006.8121287264</v>
      </c>
      <c r="I79">
        <f t="shared" si="10"/>
        <v>10.634063478015834</v>
      </c>
    </row>
    <row r="80" spans="1:9" x14ac:dyDescent="0.3">
      <c r="A80">
        <v>77</v>
      </c>
      <c r="B80">
        <v>4.3519400183355997E-2</v>
      </c>
      <c r="C80" s="1">
        <f t="shared" si="11"/>
        <v>5751730.4516553162</v>
      </c>
      <c r="D80" s="1">
        <f t="shared" si="6"/>
        <v>5501418.5923829339</v>
      </c>
      <c r="E80" s="1">
        <f t="shared" si="7"/>
        <v>250311.85927238222</v>
      </c>
      <c r="F80">
        <f t="shared" si="8"/>
        <v>0.95648059981664413</v>
      </c>
      <c r="G80" s="1">
        <f>SUM(H80:H$112)</f>
        <v>57789508.442700416</v>
      </c>
      <c r="H80" s="1">
        <f t="shared" si="9"/>
        <v>5626574.5220191255</v>
      </c>
      <c r="I80">
        <f t="shared" si="10"/>
        <v>10.047325570701755</v>
      </c>
    </row>
    <row r="81" spans="1:9" x14ac:dyDescent="0.3">
      <c r="A81">
        <v>78</v>
      </c>
      <c r="B81">
        <v>4.7061637198488798E-2</v>
      </c>
      <c r="C81" s="1">
        <f t="shared" si="11"/>
        <v>5501418.5923829339</v>
      </c>
      <c r="D81" s="1">
        <f t="shared" si="6"/>
        <v>5242512.8265111875</v>
      </c>
      <c r="E81" s="1">
        <f t="shared" si="7"/>
        <v>258905.76587174647</v>
      </c>
      <c r="F81">
        <f t="shared" si="8"/>
        <v>0.95293836280151123</v>
      </c>
      <c r="G81" s="1">
        <f>SUM(H81:H$112)</f>
        <v>52162933.92068129</v>
      </c>
      <c r="H81" s="1">
        <f t="shared" si="9"/>
        <v>5371965.7094470607</v>
      </c>
      <c r="I81">
        <f t="shared" si="10"/>
        <v>9.4817242216224393</v>
      </c>
    </row>
    <row r="82" spans="1:9" x14ac:dyDescent="0.3">
      <c r="A82">
        <v>79</v>
      </c>
      <c r="B82">
        <v>5.1603092899136102E-2</v>
      </c>
      <c r="C82" s="1">
        <f t="shared" si="11"/>
        <v>5242512.8265111875</v>
      </c>
      <c r="D82" s="1">
        <f t="shared" si="6"/>
        <v>4971982.9500998184</v>
      </c>
      <c r="E82" s="1">
        <f t="shared" si="7"/>
        <v>270529.87641136907</v>
      </c>
      <c r="F82">
        <f t="shared" si="8"/>
        <v>0.948396907100864</v>
      </c>
      <c r="G82" s="1">
        <f>SUM(H82:H$112)</f>
        <v>46790968.211234227</v>
      </c>
      <c r="H82" s="1">
        <f t="shared" si="9"/>
        <v>5107247.8883055029</v>
      </c>
      <c r="I82">
        <f t="shared" si="10"/>
        <v>8.9252939877636699</v>
      </c>
    </row>
    <row r="83" spans="1:9" x14ac:dyDescent="0.3">
      <c r="A83">
        <v>80</v>
      </c>
      <c r="B83">
        <v>5.6569514342107802E-2</v>
      </c>
      <c r="C83" s="1">
        <f t="shared" si="11"/>
        <v>4971982.9500998184</v>
      </c>
      <c r="D83" s="1">
        <f t="shared" si="6"/>
        <v>4690720.2892954312</v>
      </c>
      <c r="E83" s="1">
        <f t="shared" si="7"/>
        <v>281262.66080438718</v>
      </c>
      <c r="F83">
        <f t="shared" si="8"/>
        <v>0.94343048565789223</v>
      </c>
      <c r="G83" s="1">
        <f>SUM(H83:H$112)</f>
        <v>41683720.322928727</v>
      </c>
      <c r="H83" s="1">
        <f t="shared" si="9"/>
        <v>4831351.6196976248</v>
      </c>
      <c r="I83">
        <f t="shared" si="10"/>
        <v>8.3837214932709845</v>
      </c>
    </row>
    <row r="84" spans="1:9" x14ac:dyDescent="0.3">
      <c r="A84">
        <v>81</v>
      </c>
      <c r="B84">
        <v>5.9376701847631698E-2</v>
      </c>
      <c r="C84" s="1">
        <f t="shared" si="11"/>
        <v>4690720.2892954312</v>
      </c>
      <c r="D84" s="1">
        <f t="shared" si="6"/>
        <v>4412200.7892273003</v>
      </c>
      <c r="E84" s="1">
        <f t="shared" si="7"/>
        <v>278519.5000681309</v>
      </c>
      <c r="F84">
        <f t="shared" si="8"/>
        <v>0.94062329815236845</v>
      </c>
      <c r="G84" s="1">
        <f>SUM(H84:H$112)</f>
        <v>36852368.703231096</v>
      </c>
      <c r="H84" s="1">
        <f t="shared" si="9"/>
        <v>4551460.5392613653</v>
      </c>
      <c r="I84">
        <f t="shared" si="10"/>
        <v>7.8564413203939942</v>
      </c>
    </row>
    <row r="85" spans="1:9" x14ac:dyDescent="0.3">
      <c r="A85">
        <v>82</v>
      </c>
      <c r="B85">
        <v>7.05748174180785E-2</v>
      </c>
      <c r="C85" s="1">
        <f t="shared" si="11"/>
        <v>4412200.7892273003</v>
      </c>
      <c r="D85" s="1">
        <f t="shared" si="6"/>
        <v>4100810.5241156816</v>
      </c>
      <c r="E85" s="1">
        <f t="shared" si="7"/>
        <v>311390.26511161868</v>
      </c>
      <c r="F85">
        <f t="shared" si="8"/>
        <v>0.92942518258192153</v>
      </c>
      <c r="G85" s="1">
        <f>SUM(H85:H$112)</f>
        <v>32300908.163969748</v>
      </c>
      <c r="H85" s="1">
        <f t="shared" si="9"/>
        <v>4256505.6566714905</v>
      </c>
      <c r="I85">
        <f t="shared" si="10"/>
        <v>7.3208155537333424</v>
      </c>
    </row>
    <row r="86" spans="1:9" x14ac:dyDescent="0.3">
      <c r="A86">
        <v>83</v>
      </c>
      <c r="B86">
        <v>7.6975409981454496E-2</v>
      </c>
      <c r="C86" s="1">
        <f t="shared" si="11"/>
        <v>4100810.5241156816</v>
      </c>
      <c r="D86" s="1">
        <f t="shared" si="6"/>
        <v>3785148.9527656138</v>
      </c>
      <c r="E86" s="1">
        <f t="shared" si="7"/>
        <v>315661.57135006785</v>
      </c>
      <c r="F86">
        <f t="shared" si="8"/>
        <v>0.92302459001854553</v>
      </c>
      <c r="G86" s="1">
        <f>SUM(H86:H$112)</f>
        <v>28044402.507298261</v>
      </c>
      <c r="H86" s="1">
        <f t="shared" si="9"/>
        <v>3942979.7384406477</v>
      </c>
      <c r="I86">
        <f t="shared" si="10"/>
        <v>6.8387462289167553</v>
      </c>
    </row>
    <row r="87" spans="1:9" x14ac:dyDescent="0.3">
      <c r="A87">
        <v>84</v>
      </c>
      <c r="B87">
        <v>8.9489535905376602E-2</v>
      </c>
      <c r="C87" s="1">
        <f t="shared" si="11"/>
        <v>3785148.9527656138</v>
      </c>
      <c r="D87" s="1">
        <f t="shared" si="6"/>
        <v>3446417.7296498967</v>
      </c>
      <c r="E87" s="1">
        <f t="shared" si="7"/>
        <v>338731.22311571706</v>
      </c>
      <c r="F87">
        <f t="shared" si="8"/>
        <v>0.91051046409462344</v>
      </c>
      <c r="G87" s="1">
        <f>SUM(H87:H$112)</f>
        <v>24101422.768857613</v>
      </c>
      <c r="H87" s="1">
        <f t="shared" si="9"/>
        <v>3615783.3412077553</v>
      </c>
      <c r="I87">
        <f t="shared" si="10"/>
        <v>6.3673644206915405</v>
      </c>
    </row>
    <row r="88" spans="1:9" x14ac:dyDescent="0.3">
      <c r="A88">
        <v>85</v>
      </c>
      <c r="B88">
        <v>0.10042015684392799</v>
      </c>
      <c r="C88" s="1">
        <f t="shared" si="11"/>
        <v>3446417.7296498967</v>
      </c>
      <c r="D88" s="1">
        <f t="shared" si="6"/>
        <v>3100327.92068876</v>
      </c>
      <c r="E88" s="1">
        <f t="shared" si="7"/>
        <v>346089.80896113673</v>
      </c>
      <c r="F88">
        <f t="shared" si="8"/>
        <v>0.89957984315607209</v>
      </c>
      <c r="G88" s="1">
        <f>SUM(H88:H$112)</f>
        <v>20485639.427649856</v>
      </c>
      <c r="H88" s="1">
        <f t="shared" si="9"/>
        <v>3273372.8251693286</v>
      </c>
      <c r="I88">
        <f t="shared" si="10"/>
        <v>5.9440384290649764</v>
      </c>
    </row>
    <row r="89" spans="1:9" x14ac:dyDescent="0.3">
      <c r="A89">
        <v>86</v>
      </c>
      <c r="B89">
        <v>0.11063653358869099</v>
      </c>
      <c r="C89" s="1">
        <f t="shared" si="11"/>
        <v>3100327.92068876</v>
      </c>
      <c r="D89" s="1">
        <f t="shared" si="6"/>
        <v>2757318.3865555217</v>
      </c>
      <c r="E89" s="1">
        <f t="shared" si="7"/>
        <v>343009.53413323825</v>
      </c>
      <c r="F89">
        <f t="shared" si="8"/>
        <v>0.88936346641130903</v>
      </c>
      <c r="G89" s="1">
        <f>SUM(H89:H$112)</f>
        <v>17212266.602480527</v>
      </c>
      <c r="H89" s="1">
        <f t="shared" si="9"/>
        <v>2928823.1536221411</v>
      </c>
      <c r="I89">
        <f t="shared" si="10"/>
        <v>5.5517567956671821</v>
      </c>
    </row>
    <row r="90" spans="1:9" x14ac:dyDescent="0.3">
      <c r="A90">
        <v>87</v>
      </c>
      <c r="B90">
        <v>0.121756868530552</v>
      </c>
      <c r="C90" s="1">
        <f t="shared" si="11"/>
        <v>2757318.3865555217</v>
      </c>
      <c r="D90" s="1">
        <f t="shared" si="6"/>
        <v>2421595.9342668075</v>
      </c>
      <c r="E90" s="1">
        <f t="shared" si="7"/>
        <v>335722.45228871424</v>
      </c>
      <c r="F90">
        <f t="shared" si="8"/>
        <v>0.8782431314694481</v>
      </c>
      <c r="G90" s="1">
        <f>SUM(H90:H$112)</f>
        <v>14283443.448858378</v>
      </c>
      <c r="H90" s="1">
        <f t="shared" si="9"/>
        <v>2589457.1604111646</v>
      </c>
      <c r="I90">
        <f t="shared" si="10"/>
        <v>5.1801937413188774</v>
      </c>
    </row>
    <row r="91" spans="1:9" x14ac:dyDescent="0.3">
      <c r="A91">
        <v>88</v>
      </c>
      <c r="B91">
        <v>0.13383173079673999</v>
      </c>
      <c r="C91" s="1">
        <f t="shared" si="11"/>
        <v>2421595.9342668075</v>
      </c>
      <c r="D91" s="1">
        <f t="shared" si="6"/>
        <v>2097509.5590935322</v>
      </c>
      <c r="E91" s="1">
        <f t="shared" si="7"/>
        <v>324086.37517327536</v>
      </c>
      <c r="F91">
        <f t="shared" si="8"/>
        <v>0.86616826920326007</v>
      </c>
      <c r="G91" s="1">
        <f>SUM(H91:H$112)</f>
        <v>11693986.288447212</v>
      </c>
      <c r="H91" s="1">
        <f t="shared" si="9"/>
        <v>2259552.7466801698</v>
      </c>
      <c r="I91">
        <f t="shared" si="10"/>
        <v>4.8290410976378801</v>
      </c>
    </row>
    <row r="92" spans="1:9" x14ac:dyDescent="0.3">
      <c r="A92">
        <v>89</v>
      </c>
      <c r="B92">
        <v>0.14690850449435</v>
      </c>
      <c r="C92" s="1">
        <f t="shared" si="11"/>
        <v>2097509.5590935322</v>
      </c>
      <c r="D92" s="1">
        <f t="shared" si="6"/>
        <v>1789367.5666044978</v>
      </c>
      <c r="E92" s="1">
        <f t="shared" si="7"/>
        <v>308141.99248903431</v>
      </c>
      <c r="F92">
        <f t="shared" si="8"/>
        <v>0.85309149550565</v>
      </c>
      <c r="G92" s="1">
        <f>SUM(H92:H$112)</f>
        <v>9434433.541767044</v>
      </c>
      <c r="H92" s="1">
        <f t="shared" si="9"/>
        <v>1943438.562849015</v>
      </c>
      <c r="I92">
        <f t="shared" si="10"/>
        <v>4.4979215950959794</v>
      </c>
    </row>
    <row r="93" spans="1:9" x14ac:dyDescent="0.3">
      <c r="A93">
        <v>90</v>
      </c>
      <c r="B93">
        <v>0.161029954053483</v>
      </c>
      <c r="C93" s="1">
        <f t="shared" si="11"/>
        <v>1789367.5666044978</v>
      </c>
      <c r="D93" s="1">
        <f t="shared" si="6"/>
        <v>1501225.789569383</v>
      </c>
      <c r="E93" s="1">
        <f t="shared" si="7"/>
        <v>288141.77703511482</v>
      </c>
      <c r="F93">
        <f t="shared" si="8"/>
        <v>0.83897004594651703</v>
      </c>
      <c r="G93" s="1">
        <f>SUM(H93:H$112)</f>
        <v>7490994.9789180355</v>
      </c>
      <c r="H93" s="1">
        <f t="shared" si="9"/>
        <v>1645296.6780869404</v>
      </c>
      <c r="I93">
        <f t="shared" si="10"/>
        <v>4.1863925102503901</v>
      </c>
    </row>
    <row r="94" spans="1:9" x14ac:dyDescent="0.3">
      <c r="A94">
        <v>91</v>
      </c>
      <c r="B94">
        <v>0.17623263557920801</v>
      </c>
      <c r="C94" s="1">
        <f t="shared" si="11"/>
        <v>1501225.789569383</v>
      </c>
      <c r="D94" s="1">
        <f t="shared" si="6"/>
        <v>1236660.8120740931</v>
      </c>
      <c r="E94" s="1">
        <f t="shared" si="7"/>
        <v>264564.97749528987</v>
      </c>
      <c r="F94">
        <f t="shared" si="8"/>
        <v>0.82376736442079201</v>
      </c>
      <c r="G94" s="1">
        <f>SUM(H94:H$112)</f>
        <v>5845698.3008310953</v>
      </c>
      <c r="H94" s="1">
        <f t="shared" si="9"/>
        <v>1368943.3008217381</v>
      </c>
      <c r="I94">
        <f t="shared" si="10"/>
        <v>3.8939500916167291</v>
      </c>
    </row>
    <row r="95" spans="1:9" x14ac:dyDescent="0.3">
      <c r="A95">
        <v>92</v>
      </c>
      <c r="B95">
        <v>0.192545184646226</v>
      </c>
      <c r="C95" s="1">
        <f t="shared" si="11"/>
        <v>1236660.8120740931</v>
      </c>
      <c r="D95" s="1">
        <f t="shared" si="6"/>
        <v>998547.72766853508</v>
      </c>
      <c r="E95" s="1">
        <f t="shared" si="7"/>
        <v>238113.08440555807</v>
      </c>
      <c r="F95">
        <f t="shared" si="8"/>
        <v>0.80745481535377395</v>
      </c>
      <c r="G95" s="1">
        <f>SUM(H95:H$112)</f>
        <v>4476755.0000093561</v>
      </c>
      <c r="H95" s="1">
        <f t="shared" si="9"/>
        <v>1117604.2698713141</v>
      </c>
      <c r="I95">
        <f t="shared" si="10"/>
        <v>3.6200346580895264</v>
      </c>
    </row>
    <row r="96" spans="1:9" x14ac:dyDescent="0.3">
      <c r="A96">
        <v>93</v>
      </c>
      <c r="B96">
        <v>0.20998652604003901</v>
      </c>
      <c r="C96" s="1">
        <f t="shared" si="11"/>
        <v>998547.72766853508</v>
      </c>
      <c r="D96" s="1">
        <f t="shared" si="6"/>
        <v>788866.1592502445</v>
      </c>
      <c r="E96" s="1">
        <f t="shared" si="7"/>
        <v>209681.56841829058</v>
      </c>
      <c r="F96">
        <f t="shared" si="8"/>
        <v>0.79001347395996102</v>
      </c>
      <c r="G96" s="1">
        <f>SUM(H96:H$112)</f>
        <v>3359150.7301380411</v>
      </c>
      <c r="H96" s="1">
        <f t="shared" si="9"/>
        <v>893706.94345938973</v>
      </c>
      <c r="I96">
        <f t="shared" si="10"/>
        <v>3.3640362268723734</v>
      </c>
    </row>
    <row r="97" spans="1:9" x14ac:dyDescent="0.3">
      <c r="A97">
        <v>94</v>
      </c>
      <c r="B97">
        <v>0.22856406704269799</v>
      </c>
      <c r="C97" s="1">
        <f t="shared" si="11"/>
        <v>788866.1592502445</v>
      </c>
      <c r="D97" s="1">
        <f t="shared" si="6"/>
        <v>608559.70153965591</v>
      </c>
      <c r="E97" s="1">
        <f t="shared" si="7"/>
        <v>180306.45771058858</v>
      </c>
      <c r="F97">
        <f t="shared" si="8"/>
        <v>0.77143593295730195</v>
      </c>
      <c r="G97" s="1">
        <f>SUM(H97:H$112)</f>
        <v>2465443.7866786513</v>
      </c>
      <c r="H97" s="1">
        <f t="shared" si="9"/>
        <v>698712.93039495021</v>
      </c>
      <c r="I97">
        <f t="shared" si="10"/>
        <v>3.1253004806567728</v>
      </c>
    </row>
    <row r="98" spans="1:9" x14ac:dyDescent="0.3">
      <c r="A98">
        <v>95</v>
      </c>
      <c r="B98">
        <v>0.24827195176855399</v>
      </c>
      <c r="C98" s="1">
        <f t="shared" si="11"/>
        <v>608559.70153965591</v>
      </c>
      <c r="D98" s="1">
        <f t="shared" si="6"/>
        <v>457471.39667071687</v>
      </c>
      <c r="E98" s="1">
        <f t="shared" si="7"/>
        <v>151088.30486893904</v>
      </c>
      <c r="F98">
        <f t="shared" si="8"/>
        <v>0.75172804823144601</v>
      </c>
      <c r="G98" s="1">
        <f>SUM(H98:H$112)</f>
        <v>1766730.8562837015</v>
      </c>
      <c r="H98" s="1">
        <f t="shared" si="9"/>
        <v>533015.54910518636</v>
      </c>
      <c r="I98">
        <f t="shared" si="10"/>
        <v>2.9031348145693392</v>
      </c>
    </row>
    <row r="99" spans="1:9" x14ac:dyDescent="0.3">
      <c r="A99">
        <v>96</v>
      </c>
      <c r="B99">
        <v>0.26908946816113299</v>
      </c>
      <c r="C99" s="1">
        <f t="shared" si="11"/>
        <v>457471.39667071687</v>
      </c>
      <c r="D99" s="1">
        <f t="shared" si="6"/>
        <v>334370.66184166295</v>
      </c>
      <c r="E99" s="1">
        <f t="shared" si="7"/>
        <v>123100.73482905392</v>
      </c>
      <c r="F99">
        <f t="shared" si="8"/>
        <v>0.73091053183886701</v>
      </c>
      <c r="G99" s="1">
        <f>SUM(H99:H$112)</f>
        <v>1233715.3071785152</v>
      </c>
      <c r="H99" s="1">
        <f t="shared" si="9"/>
        <v>395921.02925618994</v>
      </c>
      <c r="I99">
        <f t="shared" si="10"/>
        <v>2.6968140875188547</v>
      </c>
    </row>
    <row r="100" spans="1:9" x14ac:dyDescent="0.3">
      <c r="A100">
        <v>97</v>
      </c>
      <c r="B100">
        <v>0.290979709631284</v>
      </c>
      <c r="C100" s="1">
        <f t="shared" si="11"/>
        <v>334370.66184166295</v>
      </c>
      <c r="D100" s="1">
        <f t="shared" si="6"/>
        <v>237075.58374975561</v>
      </c>
      <c r="E100" s="1">
        <f t="shared" si="7"/>
        <v>97295.078091907344</v>
      </c>
      <c r="F100">
        <f t="shared" si="8"/>
        <v>0.70902029036871594</v>
      </c>
      <c r="G100" s="1">
        <f>SUM(H100:H$112)</f>
        <v>837794.27792232495</v>
      </c>
      <c r="H100" s="1">
        <f t="shared" si="9"/>
        <v>285723.12279570929</v>
      </c>
      <c r="I100">
        <f t="shared" si="10"/>
        <v>2.505585487996707</v>
      </c>
    </row>
    <row r="101" spans="1:9" x14ac:dyDescent="0.3">
      <c r="A101">
        <v>98</v>
      </c>
      <c r="B101">
        <v>0.31388859786824103</v>
      </c>
      <c r="C101" s="1">
        <f t="shared" si="11"/>
        <v>237075.58374975561</v>
      </c>
      <c r="D101" s="1">
        <f t="shared" si="6"/>
        <v>162660.26117775007</v>
      </c>
      <c r="E101" s="1">
        <f t="shared" si="7"/>
        <v>74415.322572005534</v>
      </c>
      <c r="F101">
        <f t="shared" si="8"/>
        <v>0.68611140213175892</v>
      </c>
      <c r="G101" s="1">
        <f>SUM(H101:H$112)</f>
        <v>552071.15512661566</v>
      </c>
      <c r="H101" s="1">
        <f t="shared" si="9"/>
        <v>199867.92246375285</v>
      </c>
      <c r="I101">
        <f t="shared" si="10"/>
        <v>2.3286714995895683</v>
      </c>
    </row>
    <row r="102" spans="1:9" x14ac:dyDescent="0.3">
      <c r="A102">
        <v>99</v>
      </c>
      <c r="B102">
        <v>0.33774437012721698</v>
      </c>
      <c r="C102" s="1">
        <f t="shared" si="11"/>
        <v>162660.26117775007</v>
      </c>
      <c r="D102" s="1">
        <f t="shared" si="6"/>
        <v>107722.67372154228</v>
      </c>
      <c r="E102" s="1">
        <f t="shared" si="7"/>
        <v>54937.587456207795</v>
      </c>
      <c r="F102">
        <f t="shared" si="8"/>
        <v>0.66225562987278308</v>
      </c>
      <c r="G102" s="1">
        <f>SUM(H102:H$112)</f>
        <v>352203.23266286287</v>
      </c>
      <c r="H102" s="1">
        <f t="shared" si="9"/>
        <v>135191.46744964618</v>
      </c>
      <c r="I102">
        <f t="shared" si="10"/>
        <v>2.1652690713313567</v>
      </c>
    </row>
    <row r="103" spans="1:9" x14ac:dyDescent="0.3">
      <c r="A103">
        <v>100</v>
      </c>
      <c r="B103">
        <v>0.36245762178491497</v>
      </c>
      <c r="C103" s="1">
        <f t="shared" si="11"/>
        <v>107722.67372154228</v>
      </c>
      <c r="D103" s="1">
        <f t="shared" si="6"/>
        <v>68677.769592119716</v>
      </c>
      <c r="E103" s="1">
        <f t="shared" si="7"/>
        <v>39044.904129422561</v>
      </c>
      <c r="F103">
        <f t="shared" si="8"/>
        <v>0.63754237821508508</v>
      </c>
      <c r="G103" s="1">
        <f>SUM(H103:H$112)</f>
        <v>217011.76521321665</v>
      </c>
      <c r="H103" s="1">
        <f t="shared" si="9"/>
        <v>88200.221656830996</v>
      </c>
      <c r="I103">
        <f t="shared" si="10"/>
        <v>2.0145412076772362</v>
      </c>
    </row>
    <row r="104" spans="1:9" x14ac:dyDescent="0.3">
      <c r="A104">
        <v>101</v>
      </c>
      <c r="B104">
        <v>0.38792197247396498</v>
      </c>
      <c r="C104" s="1">
        <f t="shared" si="11"/>
        <v>68677.769592119716</v>
      </c>
      <c r="D104" s="1">
        <f t="shared" si="6"/>
        <v>42036.15374683214</v>
      </c>
      <c r="E104" s="1">
        <f t="shared" si="7"/>
        <v>26641.615845287575</v>
      </c>
      <c r="F104">
        <f t="shared" si="8"/>
        <v>0.61207802752603502</v>
      </c>
      <c r="G104" s="1">
        <f>SUM(H104:H$112)</f>
        <v>128811.5435563857</v>
      </c>
      <c r="H104" s="1">
        <f t="shared" si="9"/>
        <v>55356.961669475932</v>
      </c>
      <c r="I104">
        <f t="shared" si="10"/>
        <v>1.8755929949589671</v>
      </c>
    </row>
    <row r="105" spans="1:9" x14ac:dyDescent="0.3">
      <c r="A105">
        <v>102</v>
      </c>
      <c r="B105">
        <v>0.41401539211775801</v>
      </c>
      <c r="C105" s="1">
        <f t="shared" si="11"/>
        <v>42036.15374683214</v>
      </c>
      <c r="D105" s="1">
        <f t="shared" si="6"/>
        <v>24632.539070215065</v>
      </c>
      <c r="E105" s="1">
        <f t="shared" si="7"/>
        <v>17403.614676617075</v>
      </c>
      <c r="F105">
        <f t="shared" si="8"/>
        <v>0.58598460788224194</v>
      </c>
      <c r="G105" s="1">
        <f>SUM(H105:H$112)</f>
        <v>73454.581886909771</v>
      </c>
      <c r="H105" s="1">
        <f t="shared" si="9"/>
        <v>33334.346408523605</v>
      </c>
      <c r="I105">
        <f t="shared" si="10"/>
        <v>1.7474144358996055</v>
      </c>
    </row>
    <row r="106" spans="1:9" x14ac:dyDescent="0.3">
      <c r="A106">
        <v>103</v>
      </c>
      <c r="B106">
        <v>0.44060218348539298</v>
      </c>
      <c r="C106" s="1">
        <f t="shared" si="11"/>
        <v>24632.539070215065</v>
      </c>
      <c r="D106" s="1">
        <f t="shared" si="6"/>
        <v>13779.388571089054</v>
      </c>
      <c r="E106" s="1">
        <f t="shared" si="7"/>
        <v>10853.150499126012</v>
      </c>
      <c r="F106">
        <f t="shared" si="8"/>
        <v>0.55939781651460696</v>
      </c>
      <c r="G106" s="1">
        <f>SUM(H106:H$112)</f>
        <v>40120.235478386159</v>
      </c>
      <c r="H106" s="1">
        <f t="shared" si="9"/>
        <v>19205.963820652061</v>
      </c>
      <c r="I106">
        <f t="shared" si="10"/>
        <v>1.6287494912328528</v>
      </c>
    </row>
    <row r="107" spans="1:9" x14ac:dyDescent="0.3">
      <c r="A107">
        <v>104</v>
      </c>
      <c r="B107">
        <v>0.46753557360093101</v>
      </c>
      <c r="C107" s="1">
        <f t="shared" si="11"/>
        <v>13779.388571089054</v>
      </c>
      <c r="D107" s="1">
        <f t="shared" si="6"/>
        <v>7337.0342316348197</v>
      </c>
      <c r="E107" s="1">
        <f t="shared" si="7"/>
        <v>6442.3543394542339</v>
      </c>
      <c r="F107">
        <f t="shared" si="8"/>
        <v>0.53246442639906899</v>
      </c>
      <c r="G107" s="1">
        <f>SUM(H107:H$112)</f>
        <v>20914.271657734094</v>
      </c>
      <c r="H107" s="1">
        <f t="shared" si="9"/>
        <v>10558.211401361936</v>
      </c>
      <c r="I107">
        <f t="shared" si="10"/>
        <v>1.5177938810445444</v>
      </c>
    </row>
    <row r="108" spans="1:9" x14ac:dyDescent="0.3">
      <c r="A108">
        <v>105</v>
      </c>
      <c r="B108">
        <v>0.49466082167416903</v>
      </c>
      <c r="C108" s="1">
        <f t="shared" si="11"/>
        <v>7337.0342316348197</v>
      </c>
      <c r="D108" s="1">
        <f t="shared" si="6"/>
        <v>3707.6908499628344</v>
      </c>
      <c r="E108" s="1">
        <f t="shared" si="7"/>
        <v>3629.3433816719853</v>
      </c>
      <c r="F108">
        <f t="shared" si="8"/>
        <v>0.50533917832583097</v>
      </c>
      <c r="G108" s="1">
        <f>SUM(H108:H$112)</f>
        <v>10356.060256372159</v>
      </c>
      <c r="H108" s="1">
        <f t="shared" si="9"/>
        <v>5522.3625407988275</v>
      </c>
      <c r="I108">
        <f t="shared" si="10"/>
        <v>1.4114777073984903</v>
      </c>
    </row>
    <row r="109" spans="1:9" x14ac:dyDescent="0.3">
      <c r="A109">
        <v>106</v>
      </c>
      <c r="B109">
        <v>0.52181871094479304</v>
      </c>
      <c r="C109" s="1">
        <f t="shared" si="11"/>
        <v>3707.6908499628344</v>
      </c>
      <c r="D109" s="1">
        <f t="shared" si="6"/>
        <v>1772.948390053424</v>
      </c>
      <c r="E109" s="1">
        <f t="shared" si="7"/>
        <v>1934.7424599094104</v>
      </c>
      <c r="F109">
        <f t="shared" si="8"/>
        <v>0.4781812890552069</v>
      </c>
      <c r="G109" s="1">
        <f>SUM(H109:H$112)</f>
        <v>4833.6977155733321</v>
      </c>
      <c r="H109" s="1">
        <f t="shared" si="9"/>
        <v>2740.3196200081293</v>
      </c>
      <c r="I109">
        <f t="shared" si="10"/>
        <v>1.303694917180537</v>
      </c>
    </row>
    <row r="110" spans="1:9" x14ac:dyDescent="0.3">
      <c r="A110">
        <v>107</v>
      </c>
      <c r="B110">
        <v>0.54884926060852601</v>
      </c>
      <c r="C110" s="1">
        <f t="shared" si="11"/>
        <v>1772.948390053424</v>
      </c>
      <c r="D110" s="1">
        <f t="shared" si="6"/>
        <v>799.8669770755256</v>
      </c>
      <c r="E110" s="1">
        <f t="shared" si="7"/>
        <v>973.08141297789837</v>
      </c>
      <c r="F110">
        <f t="shared" si="8"/>
        <v>0.45115073939147393</v>
      </c>
      <c r="G110" s="1">
        <f>SUM(H110:H$112)</f>
        <v>2093.3780955652028</v>
      </c>
      <c r="H110" s="1">
        <f t="shared" si="9"/>
        <v>1286.4076835644748</v>
      </c>
      <c r="I110">
        <f t="shared" si="10"/>
        <v>1.1807326751920417</v>
      </c>
    </row>
    <row r="111" spans="1:9" x14ac:dyDescent="0.3">
      <c r="A111">
        <v>108</v>
      </c>
      <c r="B111">
        <v>0.57559547563062596</v>
      </c>
      <c r="C111" s="1">
        <f t="shared" si="11"/>
        <v>799.8669770755256</v>
      </c>
      <c r="D111" s="1">
        <f t="shared" si="6"/>
        <v>339.46716396450745</v>
      </c>
      <c r="E111" s="1">
        <f t="shared" si="7"/>
        <v>460.39981311101815</v>
      </c>
      <c r="F111">
        <f t="shared" si="8"/>
        <v>0.42440452436937404</v>
      </c>
      <c r="G111" s="1">
        <f>SUM(H111:H$112)</f>
        <v>806.97041200072795</v>
      </c>
      <c r="H111" s="1">
        <f t="shared" si="9"/>
        <v>569.66707052001652</v>
      </c>
      <c r="I111">
        <f t="shared" si="10"/>
        <v>1.0088807703390557</v>
      </c>
    </row>
    <row r="112" spans="1:9" x14ac:dyDescent="0.3">
      <c r="A112">
        <v>109</v>
      </c>
      <c r="B112">
        <v>0.60190694905901199</v>
      </c>
      <c r="C112" s="1">
        <f t="shared" si="11"/>
        <v>339.46716396450745</v>
      </c>
      <c r="D112" s="1">
        <f t="shared" si="6"/>
        <v>135.1395189969154</v>
      </c>
      <c r="E112" s="1">
        <f t="shared" si="7"/>
        <v>204.32764496759205</v>
      </c>
      <c r="F112">
        <f t="shared" si="8"/>
        <v>0.39809305094098801</v>
      </c>
      <c r="G112" s="1">
        <f>SUM(H112:H$112)</f>
        <v>237.30334148071142</v>
      </c>
      <c r="H112" s="1">
        <f t="shared" si="9"/>
        <v>237.30334148071142</v>
      </c>
      <c r="I112">
        <f t="shared" si="10"/>
        <v>0.69904652547049406</v>
      </c>
    </row>
    <row r="113" spans="1:9" x14ac:dyDescent="0.3">
      <c r="A113">
        <v>110</v>
      </c>
      <c r="B113">
        <v>1</v>
      </c>
      <c r="C113" s="1">
        <f t="shared" si="11"/>
        <v>135.1395189969154</v>
      </c>
      <c r="D113" s="1">
        <f t="shared" si="6"/>
        <v>0</v>
      </c>
      <c r="E113" s="1">
        <f t="shared" si="7"/>
        <v>135.1395189969154</v>
      </c>
      <c r="F113">
        <f t="shared" si="8"/>
        <v>0</v>
      </c>
      <c r="G113" s="1">
        <v>0</v>
      </c>
      <c r="H113" s="1">
        <v>0</v>
      </c>
      <c r="I113">
        <f t="shared" si="1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9F8D7-013A-43E3-B27F-D45DBD86A67D}">
  <dimension ref="A1:P113"/>
  <sheetViews>
    <sheetView tabSelected="1" topLeftCell="A26" workbookViewId="0">
      <selection activeCell="P41" sqref="P41"/>
    </sheetView>
  </sheetViews>
  <sheetFormatPr baseColWidth="10" defaultRowHeight="14.4" x14ac:dyDescent="0.3"/>
  <cols>
    <col min="8" max="8" width="12.33203125" bestFit="1" customWidth="1"/>
    <col min="14" max="15" width="13.33203125" bestFit="1" customWidth="1"/>
  </cols>
  <sheetData>
    <row r="1" spans="1:16" x14ac:dyDescent="0.3">
      <c r="A1" t="str">
        <f>Hoja1!A1</f>
        <v>Origen = 2 y TM_SEXO = M</v>
      </c>
      <c r="C1" t="s">
        <v>11</v>
      </c>
      <c r="F1" t="s">
        <v>12</v>
      </c>
      <c r="G1" s="2">
        <v>0.05</v>
      </c>
    </row>
    <row r="2" spans="1:16" x14ac:dyDescent="0.3">
      <c r="A2" t="s">
        <v>0</v>
      </c>
      <c r="B2" t="s">
        <v>1</v>
      </c>
      <c r="C2" t="s">
        <v>3</v>
      </c>
      <c r="D2" t="s">
        <v>6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6" x14ac:dyDescent="0.3">
      <c r="A3">
        <v>0</v>
      </c>
      <c r="B3">
        <v>9.2705875172031903E-3</v>
      </c>
      <c r="C3" s="1">
        <v>10000000</v>
      </c>
      <c r="D3" s="1">
        <f>C3-C4</f>
        <v>92705.875172032043</v>
      </c>
      <c r="E3">
        <f>(1/(1+$G$1))^A3</f>
        <v>1</v>
      </c>
      <c r="F3" s="1">
        <f>C3*E3</f>
        <v>10000000</v>
      </c>
      <c r="G3" s="1">
        <f>SUM(F3:F113)</f>
        <v>193879912.51434886</v>
      </c>
      <c r="H3" s="1">
        <f>SUM(G3:G113)</f>
        <v>3635456161.0612612</v>
      </c>
      <c r="I3">
        <f>D3*E4</f>
        <v>88291.309687649555</v>
      </c>
      <c r="J3">
        <f>SUM(I3:I113)</f>
        <v>767622.61274674465</v>
      </c>
      <c r="K3">
        <f>SUM(J3:J113)</f>
        <v>20762885.768831849</v>
      </c>
    </row>
    <row r="4" spans="1:16" x14ac:dyDescent="0.3">
      <c r="A4">
        <v>1</v>
      </c>
      <c r="B4">
        <v>5.6107923804468102E-3</v>
      </c>
      <c r="C4" s="1">
        <f>C3*(1-B3)</f>
        <v>9907294.124827968</v>
      </c>
      <c r="D4" s="1">
        <f t="shared" ref="D4:D67" si="0">C4-C5</f>
        <v>55587.770386429504</v>
      </c>
      <c r="E4">
        <f t="shared" ref="E4:E67" si="1">(1/(1+$G$1))^A4</f>
        <v>0.95238095238095233</v>
      </c>
      <c r="F4" s="1">
        <f t="shared" ref="F4:F67" si="2">C4*E4</f>
        <v>9435518.2141218744</v>
      </c>
      <c r="G4" s="1">
        <f t="shared" ref="G4:H67" si="3">SUM(F4:F114)</f>
        <v>183879912.51434886</v>
      </c>
      <c r="H4" s="1">
        <f t="shared" si="3"/>
        <v>3441576248.5469122</v>
      </c>
      <c r="I4">
        <f t="shared" ref="I4:I67" si="4">D4*E5</f>
        <v>50419.746382248981</v>
      </c>
      <c r="J4">
        <f t="shared" ref="J4:K67" si="5">SUM(I4:I114)</f>
        <v>679331.3030590947</v>
      </c>
      <c r="K4">
        <f t="shared" si="5"/>
        <v>19995263.156085104</v>
      </c>
    </row>
    <row r="5" spans="1:16" x14ac:dyDescent="0.3">
      <c r="A5">
        <v>2</v>
      </c>
      <c r="B5">
        <v>4.6183224596591304E-3</v>
      </c>
      <c r="C5" s="1">
        <f t="shared" ref="C5:C68" si="6">C4*(1-B4)</f>
        <v>9851706.3544415385</v>
      </c>
      <c r="D5" s="1">
        <f t="shared" si="0"/>
        <v>45498.356722682714</v>
      </c>
      <c r="E5">
        <f t="shared" si="1"/>
        <v>0.90702947845804982</v>
      </c>
      <c r="F5" s="1">
        <f t="shared" si="2"/>
        <v>8935788.0765909646</v>
      </c>
      <c r="G5" s="1">
        <f t="shared" si="3"/>
        <v>174444394.30022699</v>
      </c>
      <c r="H5" s="1">
        <f t="shared" si="3"/>
        <v>3257696336.0325637</v>
      </c>
      <c r="I5">
        <f t="shared" si="4"/>
        <v>39303.191208450677</v>
      </c>
      <c r="J5">
        <f t="shared" si="5"/>
        <v>628911.55667684565</v>
      </c>
      <c r="K5">
        <f t="shared" si="5"/>
        <v>19315931.853026014</v>
      </c>
      <c r="M5" t="s">
        <v>20</v>
      </c>
    </row>
    <row r="6" spans="1:16" x14ac:dyDescent="0.3">
      <c r="A6">
        <v>3</v>
      </c>
      <c r="B6">
        <v>4.3940966413034297E-3</v>
      </c>
      <c r="C6" s="1">
        <f t="shared" si="6"/>
        <v>9806207.9977188557</v>
      </c>
      <c r="D6" s="1">
        <f t="shared" si="0"/>
        <v>43089.425626698881</v>
      </c>
      <c r="E6">
        <f t="shared" si="1"/>
        <v>0.86383759853147601</v>
      </c>
      <c r="F6" s="1">
        <f t="shared" si="2"/>
        <v>8470971.1674496103</v>
      </c>
      <c r="G6" s="1">
        <f t="shared" si="3"/>
        <v>165508606.22363603</v>
      </c>
      <c r="H6" s="1">
        <f t="shared" si="3"/>
        <v>3083251941.7323365</v>
      </c>
      <c r="I6">
        <f t="shared" si="4"/>
        <v>35449.777100445906</v>
      </c>
      <c r="J6">
        <f t="shared" si="5"/>
        <v>589608.36546839506</v>
      </c>
      <c r="K6">
        <f t="shared" si="5"/>
        <v>18687020.29634916</v>
      </c>
      <c r="M6" s="3" t="s">
        <v>21</v>
      </c>
      <c r="N6" s="4">
        <f>G1</f>
        <v>0.05</v>
      </c>
      <c r="O6" t="s">
        <v>22</v>
      </c>
    </row>
    <row r="7" spans="1:16" x14ac:dyDescent="0.3">
      <c r="A7">
        <v>4</v>
      </c>
      <c r="B7">
        <v>4.4901807518419098E-3</v>
      </c>
      <c r="C7" s="1">
        <f t="shared" si="6"/>
        <v>9763118.5720921569</v>
      </c>
      <c r="D7" s="1">
        <f t="shared" si="0"/>
        <v>43838.167090358213</v>
      </c>
      <c r="E7">
        <f t="shared" si="1"/>
        <v>0.82270247479188185</v>
      </c>
      <c r="F7" s="1">
        <f t="shared" si="2"/>
        <v>8032141.8109468017</v>
      </c>
      <c r="G7" s="1">
        <f t="shared" si="3"/>
        <v>157037635.05618644</v>
      </c>
      <c r="H7" s="1">
        <f t="shared" si="3"/>
        <v>2917743335.5087008</v>
      </c>
      <c r="I7">
        <f t="shared" si="4"/>
        <v>34348.351005312121</v>
      </c>
      <c r="J7">
        <f t="shared" si="5"/>
        <v>554158.58836794936</v>
      </c>
      <c r="K7">
        <f t="shared" si="5"/>
        <v>18097411.930880766</v>
      </c>
      <c r="M7" t="s">
        <v>23</v>
      </c>
      <c r="N7" s="5" t="s">
        <v>24</v>
      </c>
      <c r="O7" s="5" t="s">
        <v>25</v>
      </c>
    </row>
    <row r="8" spans="1:16" x14ac:dyDescent="0.3">
      <c r="A8">
        <v>5</v>
      </c>
      <c r="B8">
        <v>4.74445034496451E-3</v>
      </c>
      <c r="C8" s="1">
        <f t="shared" si="6"/>
        <v>9719280.4050017986</v>
      </c>
      <c r="D8" s="1">
        <f t="shared" si="0"/>
        <v>46112.643270317465</v>
      </c>
      <c r="E8">
        <f t="shared" si="1"/>
        <v>0.78352616646845885</v>
      </c>
      <c r="F8" s="1">
        <f t="shared" si="2"/>
        <v>7615310.5165630691</v>
      </c>
      <c r="G8" s="1">
        <f t="shared" si="3"/>
        <v>149005493.24523962</v>
      </c>
      <c r="H8" s="1">
        <f t="shared" si="3"/>
        <v>2760705700.4525137</v>
      </c>
      <c r="I8">
        <f t="shared" si="4"/>
        <v>34409.964387923261</v>
      </c>
      <c r="J8">
        <f t="shared" si="5"/>
        <v>519810.23736263742</v>
      </c>
      <c r="K8">
        <f t="shared" si="5"/>
        <v>17543253.342512812</v>
      </c>
      <c r="M8">
        <v>38</v>
      </c>
      <c r="N8" s="6">
        <f>VLOOKUP(M8,$A$2:$K$102,6)</f>
        <v>1423801.14213531</v>
      </c>
      <c r="O8" s="7">
        <f>$N$11/N8</f>
        <v>0.16666826339403223</v>
      </c>
    </row>
    <row r="9" spans="1:16" x14ac:dyDescent="0.3">
      <c r="A9">
        <v>6</v>
      </c>
      <c r="B9">
        <v>5.08433962751115E-3</v>
      </c>
      <c r="C9" s="1">
        <f t="shared" si="6"/>
        <v>9673167.7617314812</v>
      </c>
      <c r="D9" s="1">
        <f t="shared" si="0"/>
        <v>49181.670174535364</v>
      </c>
      <c r="E9">
        <f t="shared" si="1"/>
        <v>0.7462153966366275</v>
      </c>
      <c r="F9" s="1">
        <f t="shared" si="2"/>
        <v>7218266.718053096</v>
      </c>
      <c r="G9" s="1">
        <f t="shared" si="3"/>
        <v>141390182.72867653</v>
      </c>
      <c r="H9" s="1">
        <f t="shared" si="3"/>
        <v>2611700207.207274</v>
      </c>
      <c r="I9">
        <f t="shared" si="4"/>
        <v>34952.494777659711</v>
      </c>
      <c r="J9">
        <f t="shared" si="5"/>
        <v>485400.27297471429</v>
      </c>
      <c r="K9">
        <f t="shared" si="5"/>
        <v>17023443.105150178</v>
      </c>
      <c r="M9">
        <v>54</v>
      </c>
      <c r="N9" s="6">
        <f>VLOOKUP(M9,$A$2:$K$102,6)</f>
        <v>618659.80161853833</v>
      </c>
      <c r="O9" s="7">
        <f>$N$11/N9</f>
        <v>0.3835750490937036</v>
      </c>
    </row>
    <row r="10" spans="1:16" x14ac:dyDescent="0.3">
      <c r="A10">
        <v>7</v>
      </c>
      <c r="B10">
        <v>5.4728903546926201E-3</v>
      </c>
      <c r="C10" s="1">
        <f t="shared" si="6"/>
        <v>9623986.0915569458</v>
      </c>
      <c r="D10" s="1">
        <f t="shared" si="0"/>
        <v>52671.020654179156</v>
      </c>
      <c r="E10">
        <f t="shared" si="1"/>
        <v>0.71068133013012136</v>
      </c>
      <c r="F10" s="1">
        <f t="shared" si="2"/>
        <v>6839587.2367014783</v>
      </c>
      <c r="G10" s="1">
        <f t="shared" si="3"/>
        <v>134171916.01062354</v>
      </c>
      <c r="H10" s="1">
        <f t="shared" si="3"/>
        <v>2470310024.4785972</v>
      </c>
      <c r="I10">
        <f t="shared" si="4"/>
        <v>35649.820016974416</v>
      </c>
      <c r="J10">
        <f t="shared" si="5"/>
        <v>450447.77819705463</v>
      </c>
      <c r="K10">
        <f t="shared" si="5"/>
        <v>16538042.832175476</v>
      </c>
      <c r="M10">
        <v>62</v>
      </c>
      <c r="N10" s="6">
        <f>VLOOKUP(M10,$A$2:$K$102,6)</f>
        <v>399065.29535320483</v>
      </c>
      <c r="O10" s="7">
        <f>$N$11/N10</f>
        <v>0.59464570470378797</v>
      </c>
    </row>
    <row r="11" spans="1:16" x14ac:dyDescent="0.3">
      <c r="A11">
        <v>8</v>
      </c>
      <c r="B11">
        <v>5.8895783232031504E-3</v>
      </c>
      <c r="C11" s="1">
        <f t="shared" si="6"/>
        <v>9571315.0709027667</v>
      </c>
      <c r="D11" s="1">
        <f t="shared" si="0"/>
        <v>56371.009766137227</v>
      </c>
      <c r="E11">
        <f t="shared" si="1"/>
        <v>0.676839362028687</v>
      </c>
      <c r="F11" s="1">
        <f t="shared" si="2"/>
        <v>6478242.7863653861</v>
      </c>
      <c r="G11" s="1">
        <f t="shared" si="3"/>
        <v>127332328.77392209</v>
      </c>
      <c r="H11" s="1">
        <f t="shared" si="3"/>
        <v>2336138108.4679742</v>
      </c>
      <c r="I11">
        <f t="shared" si="4"/>
        <v>36337.255511452575</v>
      </c>
      <c r="J11">
        <f t="shared" si="5"/>
        <v>414797.95818008023</v>
      </c>
      <c r="K11">
        <f t="shared" si="5"/>
        <v>16087595.053978421</v>
      </c>
      <c r="M11">
        <v>70</v>
      </c>
      <c r="N11" s="6">
        <f>VLOOKUP(M11,$A$2:$K$102,6)</f>
        <v>237302.46377813176</v>
      </c>
      <c r="O11" s="7">
        <f>$N$11/N11</f>
        <v>1</v>
      </c>
    </row>
    <row r="12" spans="1:16" x14ac:dyDescent="0.3">
      <c r="A12">
        <v>9</v>
      </c>
      <c r="B12">
        <v>6.3222873734560198E-3</v>
      </c>
      <c r="C12" s="1">
        <f t="shared" si="6"/>
        <v>9514944.0611366294</v>
      </c>
      <c r="D12" s="1">
        <f t="shared" si="0"/>
        <v>60156.210696864873</v>
      </c>
      <c r="E12">
        <f t="shared" si="1"/>
        <v>0.64460891621779715</v>
      </c>
      <c r="F12" s="1">
        <f t="shared" si="2"/>
        <v>6133417.7791222483</v>
      </c>
      <c r="G12" s="1">
        <f t="shared" si="3"/>
        <v>120854085.9875567</v>
      </c>
      <c r="H12" s="1">
        <f t="shared" si="3"/>
        <v>2208805779.6940517</v>
      </c>
      <c r="I12">
        <f t="shared" si="4"/>
        <v>36930.695029595729</v>
      </c>
      <c r="J12">
        <f t="shared" si="5"/>
        <v>378460.70266862772</v>
      </c>
      <c r="K12">
        <f t="shared" si="5"/>
        <v>15672797.095798342</v>
      </c>
    </row>
    <row r="13" spans="1:16" x14ac:dyDescent="0.3">
      <c r="A13">
        <v>10</v>
      </c>
      <c r="B13">
        <v>1.29626024706946E-3</v>
      </c>
      <c r="C13" s="1">
        <f t="shared" si="6"/>
        <v>9454787.8504397646</v>
      </c>
      <c r="D13" s="1">
        <f t="shared" si="0"/>
        <v>12255.865635000169</v>
      </c>
      <c r="E13">
        <f t="shared" si="1"/>
        <v>0.6139132535407591</v>
      </c>
      <c r="F13" s="1">
        <f t="shared" si="2"/>
        <v>5804419.5708011156</v>
      </c>
      <c r="G13" s="1">
        <f t="shared" si="3"/>
        <v>114720668.20843446</v>
      </c>
      <c r="H13" s="1">
        <f t="shared" si="3"/>
        <v>2087951693.7064958</v>
      </c>
      <c r="I13">
        <f t="shared" si="4"/>
        <v>7165.7508066107966</v>
      </c>
      <c r="J13">
        <f t="shared" si="5"/>
        <v>341530.00763903192</v>
      </c>
      <c r="K13">
        <f t="shared" si="5"/>
        <v>15294336.393129714</v>
      </c>
    </row>
    <row r="14" spans="1:16" x14ac:dyDescent="0.3">
      <c r="A14">
        <v>11</v>
      </c>
      <c r="B14">
        <v>1.24021725674109E-3</v>
      </c>
      <c r="C14" s="1">
        <f t="shared" si="6"/>
        <v>9442531.9848047644</v>
      </c>
      <c r="D14" s="1">
        <f t="shared" si="0"/>
        <v>11710.791114883497</v>
      </c>
      <c r="E14">
        <f t="shared" si="1"/>
        <v>0.58467928908643729</v>
      </c>
      <c r="F14" s="1">
        <f t="shared" si="2"/>
        <v>5520852.8880515955</v>
      </c>
      <c r="G14" s="1">
        <f t="shared" si="3"/>
        <v>108916248.63763335</v>
      </c>
      <c r="H14" s="1">
        <f t="shared" si="3"/>
        <v>1973231025.4980612</v>
      </c>
      <c r="I14">
        <f t="shared" si="4"/>
        <v>6521.0066892284276</v>
      </c>
      <c r="J14">
        <f t="shared" si="5"/>
        <v>334364.25683242112</v>
      </c>
      <c r="K14">
        <f t="shared" si="5"/>
        <v>14952806.385490682</v>
      </c>
      <c r="M14" t="s">
        <v>26</v>
      </c>
    </row>
    <row r="15" spans="1:16" x14ac:dyDescent="0.3">
      <c r="A15">
        <v>12</v>
      </c>
      <c r="B15">
        <v>1.19192465517807E-3</v>
      </c>
      <c r="C15" s="1">
        <f t="shared" si="6"/>
        <v>9430821.1936898809</v>
      </c>
      <c r="D15" s="1">
        <f t="shared" si="0"/>
        <v>11240.828299334273</v>
      </c>
      <c r="E15">
        <f t="shared" si="1"/>
        <v>0.55683741817755927</v>
      </c>
      <c r="F15" s="1">
        <f t="shared" si="2"/>
        <v>5251434.1247884808</v>
      </c>
      <c r="G15" s="1">
        <f t="shared" si="3"/>
        <v>103395395.74958174</v>
      </c>
      <c r="H15" s="1">
        <f t="shared" si="3"/>
        <v>1864314776.8604279</v>
      </c>
      <c r="I15">
        <f t="shared" si="4"/>
        <v>5961.2512460748003</v>
      </c>
      <c r="J15">
        <f t="shared" si="5"/>
        <v>327843.25014319265</v>
      </c>
      <c r="K15">
        <f t="shared" si="5"/>
        <v>14618442.128658261</v>
      </c>
      <c r="M15" s="3" t="s">
        <v>21</v>
      </c>
      <c r="N15" s="4">
        <f>G1</f>
        <v>0.05</v>
      </c>
      <c r="O15" t="s">
        <v>27</v>
      </c>
    </row>
    <row r="16" spans="1:16" x14ac:dyDescent="0.3">
      <c r="A16">
        <v>13</v>
      </c>
      <c r="B16">
        <v>1.15009490808231E-3</v>
      </c>
      <c r="C16" s="1">
        <f t="shared" si="6"/>
        <v>9419580.3653905466</v>
      </c>
      <c r="D16" s="1">
        <f t="shared" si="0"/>
        <v>10833.411414507776</v>
      </c>
      <c r="E16">
        <f t="shared" si="1"/>
        <v>0.53032135064529451</v>
      </c>
      <c r="F16" s="1">
        <f t="shared" si="2"/>
        <v>4995404.5818858119</v>
      </c>
      <c r="G16" s="1">
        <f t="shared" si="3"/>
        <v>98143961.624793246</v>
      </c>
      <c r="H16" s="1">
        <f t="shared" si="3"/>
        <v>1760919381.1108465</v>
      </c>
      <c r="I16">
        <f t="shared" si="4"/>
        <v>5471.6089270837274</v>
      </c>
      <c r="J16">
        <f t="shared" si="5"/>
        <v>321881.99889711791</v>
      </c>
      <c r="K16">
        <f t="shared" si="5"/>
        <v>14290598.878515068</v>
      </c>
      <c r="M16" t="s">
        <v>23</v>
      </c>
      <c r="N16" s="5" t="s">
        <v>24</v>
      </c>
      <c r="O16" s="5" t="s">
        <v>28</v>
      </c>
      <c r="P16" s="5" t="s">
        <v>29</v>
      </c>
    </row>
    <row r="17" spans="1:16" x14ac:dyDescent="0.3">
      <c r="A17">
        <v>14</v>
      </c>
      <c r="B17">
        <v>1.1138631833215199E-3</v>
      </c>
      <c r="C17" s="1">
        <f t="shared" si="6"/>
        <v>9408746.9539760388</v>
      </c>
      <c r="D17" s="1">
        <f t="shared" si="0"/>
        <v>10480.056833222508</v>
      </c>
      <c r="E17">
        <f t="shared" si="1"/>
        <v>0.50506795299551854</v>
      </c>
      <c r="F17" s="1">
        <f t="shared" si="2"/>
        <v>4752056.5642974982</v>
      </c>
      <c r="G17" s="1">
        <f t="shared" si="3"/>
        <v>93148557.042907447</v>
      </c>
      <c r="H17" s="1">
        <f t="shared" si="3"/>
        <v>1662775419.4860535</v>
      </c>
      <c r="I17">
        <f t="shared" si="4"/>
        <v>5041.0865257451323</v>
      </c>
      <c r="J17">
        <f t="shared" si="5"/>
        <v>316410.38997003419</v>
      </c>
      <c r="K17">
        <f t="shared" si="5"/>
        <v>13968716.879617952</v>
      </c>
      <c r="M17">
        <v>45</v>
      </c>
      <c r="N17" s="6">
        <f>VLOOKUP(M17,$A$2:$K$102,6)</f>
        <v>992842.38001069135</v>
      </c>
      <c r="O17" s="6">
        <f>VLOOKUP(M17+1,$A$2:$K$102,7)</f>
        <v>15445614.918887226</v>
      </c>
      <c r="P17" s="8">
        <f>O17/N17</f>
        <v>15.55696576804155</v>
      </c>
    </row>
    <row r="18" spans="1:16" x14ac:dyDescent="0.3">
      <c r="A18">
        <v>15</v>
      </c>
      <c r="B18">
        <v>1.08274522509788E-3</v>
      </c>
      <c r="C18" s="1">
        <f t="shared" si="6"/>
        <v>9398266.8971428163</v>
      </c>
      <c r="D18" s="1">
        <f t="shared" si="0"/>
        <v>10175.928607076406</v>
      </c>
      <c r="E18">
        <f t="shared" si="1"/>
        <v>0.48101709809097004</v>
      </c>
      <c r="F18" s="1">
        <f t="shared" si="2"/>
        <v>4520727.0699480623</v>
      </c>
      <c r="G18" s="1">
        <f t="shared" si="3"/>
        <v>88396500.478609949</v>
      </c>
      <c r="H18" s="1">
        <f t="shared" si="3"/>
        <v>1569626862.443146</v>
      </c>
      <c r="I18">
        <f t="shared" si="4"/>
        <v>4661.7101418636003</v>
      </c>
      <c r="J18">
        <f t="shared" si="5"/>
        <v>311369.30344428908</v>
      </c>
      <c r="K18">
        <f t="shared" si="5"/>
        <v>13652306.489647917</v>
      </c>
      <c r="M18">
        <v>60</v>
      </c>
      <c r="N18" s="6">
        <f>VLOOKUP(M18,$A$2:$K$102,6)</f>
        <v>446805.51237754023</v>
      </c>
      <c r="O18" s="6">
        <f>VLOOKUP(M18+1,$A$2:$K$102,7)</f>
        <v>5419329.1947477274</v>
      </c>
      <c r="P18" s="8">
        <f t="shared" ref="P18:P19" si="7">O18/N18</f>
        <v>12.129056255171088</v>
      </c>
    </row>
    <row r="19" spans="1:16" x14ac:dyDescent="0.3">
      <c r="A19">
        <v>16</v>
      </c>
      <c r="B19">
        <v>1.0566416454371899E-3</v>
      </c>
      <c r="C19" s="1">
        <f t="shared" si="6"/>
        <v>9388090.9685357399</v>
      </c>
      <c r="D19" s="1">
        <f t="shared" si="0"/>
        <v>9919.8478885069489</v>
      </c>
      <c r="E19">
        <f t="shared" si="1"/>
        <v>0.45811152199140004</v>
      </c>
      <c r="F19" s="1">
        <f t="shared" si="2"/>
        <v>4300792.6421896247</v>
      </c>
      <c r="G19" s="1">
        <f t="shared" si="3"/>
        <v>83875773.408661872</v>
      </c>
      <c r="H19" s="1">
        <f t="shared" si="3"/>
        <v>1481230361.9645362</v>
      </c>
      <c r="I19">
        <f t="shared" si="4"/>
        <v>4327.9967753591372</v>
      </c>
      <c r="J19">
        <f t="shared" si="5"/>
        <v>306707.5933024254</v>
      </c>
      <c r="K19">
        <f t="shared" si="5"/>
        <v>13340937.186203625</v>
      </c>
      <c r="M19">
        <v>90</v>
      </c>
      <c r="N19" s="6">
        <f>VLOOKUP(M19,$A$2:$K$102,6)</f>
        <v>22164.740188101667</v>
      </c>
      <c r="O19" s="6">
        <f>VLOOKUP(M19+1,$A$2:$K$102,7)</f>
        <v>68628.298950653727</v>
      </c>
      <c r="P19" s="8">
        <f>O19/N19</f>
        <v>3.096282580722256</v>
      </c>
    </row>
    <row r="20" spans="1:16" x14ac:dyDescent="0.3">
      <c r="A20">
        <v>17</v>
      </c>
      <c r="B20">
        <v>1.03585587509764E-3</v>
      </c>
      <c r="C20" s="1">
        <f t="shared" si="6"/>
        <v>9378171.120647233</v>
      </c>
      <c r="D20" s="1">
        <f t="shared" si="0"/>
        <v>9714.4336529932916</v>
      </c>
      <c r="E20">
        <f t="shared" si="1"/>
        <v>0.43629668761085716</v>
      </c>
      <c r="F20" s="1">
        <f t="shared" si="2"/>
        <v>4091664.9957861882</v>
      </c>
      <c r="G20" s="1">
        <f t="shared" si="3"/>
        <v>79574980.766472235</v>
      </c>
      <c r="H20" s="1">
        <f t="shared" si="3"/>
        <v>1397354588.5558743</v>
      </c>
      <c r="I20">
        <f t="shared" si="4"/>
        <v>4036.5478331584877</v>
      </c>
      <c r="J20">
        <f t="shared" si="5"/>
        <v>302379.59652706631</v>
      </c>
      <c r="K20">
        <f t="shared" si="5"/>
        <v>13034229.592901202</v>
      </c>
    </row>
    <row r="21" spans="1:16" x14ac:dyDescent="0.3">
      <c r="A21">
        <v>18</v>
      </c>
      <c r="B21">
        <v>1.02109321482963E-3</v>
      </c>
      <c r="C21" s="1">
        <f t="shared" si="6"/>
        <v>9368456.6869942397</v>
      </c>
      <c r="D21" s="1">
        <f t="shared" si="0"/>
        <v>9566.067556515336</v>
      </c>
      <c r="E21">
        <f t="shared" si="1"/>
        <v>0.41552065486748302</v>
      </c>
      <c r="F21" s="1">
        <f t="shared" si="2"/>
        <v>3892787.2576774969</v>
      </c>
      <c r="G21" s="1">
        <f t="shared" si="3"/>
        <v>75483315.770686075</v>
      </c>
      <c r="H21" s="1">
        <f t="shared" si="3"/>
        <v>1317779607.7894022</v>
      </c>
      <c r="I21">
        <f t="shared" si="4"/>
        <v>3785.6177672284148</v>
      </c>
      <c r="J21">
        <f t="shared" si="5"/>
        <v>298343.0486939078</v>
      </c>
      <c r="K21">
        <f t="shared" si="5"/>
        <v>12731849.996374136</v>
      </c>
      <c r="M21" t="s">
        <v>30</v>
      </c>
    </row>
    <row r="22" spans="1:16" x14ac:dyDescent="0.3">
      <c r="A22">
        <v>19</v>
      </c>
      <c r="B22">
        <v>1.01341491649395E-3</v>
      </c>
      <c r="C22" s="1">
        <f t="shared" si="6"/>
        <v>9358890.6194377244</v>
      </c>
      <c r="D22" s="1">
        <f t="shared" si="0"/>
        <v>9484.4393555745482</v>
      </c>
      <c r="E22">
        <f t="shared" si="1"/>
        <v>0.39573395701665048</v>
      </c>
      <c r="F22" s="1">
        <f t="shared" si="2"/>
        <v>3703630.8181161019</v>
      </c>
      <c r="G22" s="1">
        <f t="shared" si="3"/>
        <v>71590528.51300855</v>
      </c>
      <c r="H22" s="1">
        <f t="shared" si="3"/>
        <v>1242296292.0187166</v>
      </c>
      <c r="I22">
        <f t="shared" si="4"/>
        <v>3574.585444062825</v>
      </c>
      <c r="J22">
        <f t="shared" si="5"/>
        <v>294557.43092667946</v>
      </c>
      <c r="K22">
        <f t="shared" si="5"/>
        <v>12433506.947680227</v>
      </c>
      <c r="M22" s="3" t="s">
        <v>21</v>
      </c>
      <c r="N22" s="4">
        <f>G1</f>
        <v>0.05</v>
      </c>
      <c r="O22" t="s">
        <v>31</v>
      </c>
    </row>
    <row r="23" spans="1:16" x14ac:dyDescent="0.3">
      <c r="A23">
        <v>20</v>
      </c>
      <c r="B23">
        <v>8.58419823370404E-4</v>
      </c>
      <c r="C23" s="1">
        <f t="shared" si="6"/>
        <v>9349406.1800821498</v>
      </c>
      <c r="D23" s="1">
        <f t="shared" si="0"/>
        <v>8025.7156017236412</v>
      </c>
      <c r="E23">
        <f t="shared" si="1"/>
        <v>0.37688948287300045</v>
      </c>
      <c r="F23" s="1">
        <f t="shared" si="2"/>
        <v>3523692.8603807958</v>
      </c>
      <c r="G23" s="1">
        <f t="shared" si="3"/>
        <v>67886897.694892392</v>
      </c>
      <c r="H23" s="1">
        <f t="shared" si="3"/>
        <v>1170705763.5057077</v>
      </c>
      <c r="I23">
        <f t="shared" si="4"/>
        <v>2880.7693360184708</v>
      </c>
      <c r="J23">
        <f t="shared" si="5"/>
        <v>290982.84548261663</v>
      </c>
      <c r="K23">
        <f t="shared" si="5"/>
        <v>12138949.516753549</v>
      </c>
      <c r="M23" t="s">
        <v>23</v>
      </c>
      <c r="N23" s="5" t="s">
        <v>24</v>
      </c>
      <c r="O23" s="5" t="s">
        <v>32</v>
      </c>
      <c r="P23" s="5"/>
    </row>
    <row r="24" spans="1:16" x14ac:dyDescent="0.3">
      <c r="A24">
        <v>21</v>
      </c>
      <c r="B24">
        <v>1.14990727214722E-3</v>
      </c>
      <c r="C24" s="1">
        <f t="shared" si="6"/>
        <v>9341380.4644804262</v>
      </c>
      <c r="D24" s="1">
        <f t="shared" si="0"/>
        <v>10741.721327999607</v>
      </c>
      <c r="E24">
        <f t="shared" si="1"/>
        <v>0.35894236464095275</v>
      </c>
      <c r="F24" s="1">
        <f t="shared" si="2"/>
        <v>3353017.1929314057</v>
      </c>
      <c r="G24" s="1">
        <f t="shared" si="3"/>
        <v>64363204.834511578</v>
      </c>
      <c r="H24" s="1">
        <f t="shared" si="3"/>
        <v>1102818865.8108153</v>
      </c>
      <c r="I24">
        <f t="shared" si="4"/>
        <v>3672.0560512250804</v>
      </c>
      <c r="J24">
        <f t="shared" si="5"/>
        <v>288102.07614659821</v>
      </c>
      <c r="K24">
        <f t="shared" si="5"/>
        <v>11847966.671270931</v>
      </c>
      <c r="M24">
        <v>25</v>
      </c>
      <c r="N24" s="6">
        <f>VLOOKUP(M24,$A$2:$K$102,6)</f>
        <v>2746245.7955706664</v>
      </c>
      <c r="O24" s="9">
        <f>G$78/N24</f>
        <v>0.49941097693298797</v>
      </c>
      <c r="P24" s="9"/>
    </row>
    <row r="25" spans="1:16" x14ac:dyDescent="0.3">
      <c r="A25">
        <v>22</v>
      </c>
      <c r="B25">
        <v>1.0093527249881E-3</v>
      </c>
      <c r="C25" s="1">
        <f t="shared" si="6"/>
        <v>9330638.7431524266</v>
      </c>
      <c r="D25" s="1">
        <f t="shared" si="0"/>
        <v>9417.9056412801147</v>
      </c>
      <c r="E25">
        <f t="shared" si="1"/>
        <v>0.34184987108662168</v>
      </c>
      <c r="F25" s="1">
        <f t="shared" si="2"/>
        <v>3189677.6515024947</v>
      </c>
      <c r="G25" s="1">
        <f t="shared" si="3"/>
        <v>61010187.641580164</v>
      </c>
      <c r="H25" s="1">
        <f t="shared" si="3"/>
        <v>1038455660.9763033</v>
      </c>
      <c r="I25">
        <f t="shared" si="4"/>
        <v>3066.1998375024514</v>
      </c>
      <c r="J25">
        <f t="shared" si="5"/>
        <v>284430.02009537315</v>
      </c>
      <c r="K25">
        <f t="shared" si="5"/>
        <v>11559864.595124334</v>
      </c>
      <c r="M25">
        <v>40</v>
      </c>
      <c r="N25" s="6">
        <f>VLOOKUP(M25,$A$2:$K$102,6)</f>
        <v>1285077.6993845557</v>
      </c>
      <c r="O25" s="9">
        <f>G$78/N25</f>
        <v>1.0672547631329166</v>
      </c>
      <c r="P25" s="9"/>
    </row>
    <row r="26" spans="1:16" x14ac:dyDescent="0.3">
      <c r="A26">
        <v>23</v>
      </c>
      <c r="B26">
        <v>1.1889848554431999E-3</v>
      </c>
      <c r="C26" s="1">
        <f t="shared" si="6"/>
        <v>9321220.8375111464</v>
      </c>
      <c r="D26" s="1">
        <f t="shared" si="0"/>
        <v>11082.790410041809</v>
      </c>
      <c r="E26">
        <f t="shared" si="1"/>
        <v>0.32557130579678251</v>
      </c>
      <c r="F26" s="1">
        <f t="shared" si="2"/>
        <v>3034722.0396886826</v>
      </c>
      <c r="G26" s="1">
        <f t="shared" si="3"/>
        <v>57820509.990077674</v>
      </c>
      <c r="H26" s="1">
        <f t="shared" si="3"/>
        <v>977445473.33472347</v>
      </c>
      <c r="I26">
        <f t="shared" si="4"/>
        <v>3436.4176625422579</v>
      </c>
      <c r="J26">
        <f t="shared" si="5"/>
        <v>281363.82025787066</v>
      </c>
      <c r="K26">
        <f t="shared" si="5"/>
        <v>11275434.575028962</v>
      </c>
      <c r="M26">
        <v>70</v>
      </c>
      <c r="N26" s="6">
        <f>VLOOKUP(M26,$A$2:$K$102,6)</f>
        <v>237302.46377813176</v>
      </c>
      <c r="O26" s="9">
        <f>G$78/N26</f>
        <v>5.7795661866636143</v>
      </c>
      <c r="P26" s="9"/>
    </row>
    <row r="27" spans="1:16" x14ac:dyDescent="0.3">
      <c r="A27">
        <v>24</v>
      </c>
      <c r="B27">
        <v>1.1143796465444701E-3</v>
      </c>
      <c r="C27" s="1">
        <f t="shared" si="6"/>
        <v>9310138.0471011046</v>
      </c>
      <c r="D27" s="1">
        <f t="shared" si="0"/>
        <v>10375.028346208856</v>
      </c>
      <c r="E27">
        <f t="shared" si="1"/>
        <v>0.31006791028265002</v>
      </c>
      <c r="F27" s="1">
        <f t="shared" si="2"/>
        <v>2886775.0487076319</v>
      </c>
      <c r="G27" s="1">
        <f t="shared" si="3"/>
        <v>54785787.950388998</v>
      </c>
      <c r="H27" s="1">
        <f t="shared" si="3"/>
        <v>919624963.3446455</v>
      </c>
      <c r="I27">
        <f t="shared" si="4"/>
        <v>3063.7746270783223</v>
      </c>
      <c r="J27">
        <f t="shared" si="5"/>
        <v>277927.4025953284</v>
      </c>
      <c r="K27">
        <f t="shared" si="5"/>
        <v>10994070.754771089</v>
      </c>
      <c r="N27" s="6"/>
      <c r="O27" s="6"/>
      <c r="P27" s="9"/>
    </row>
    <row r="28" spans="1:16" x14ac:dyDescent="0.3">
      <c r="A28">
        <v>25</v>
      </c>
      <c r="B28">
        <v>1.2039063835446401E-3</v>
      </c>
      <c r="C28" s="1">
        <f t="shared" si="6"/>
        <v>9299763.0187548958</v>
      </c>
      <c r="D28" s="1">
        <f t="shared" si="0"/>
        <v>11196.044063732028</v>
      </c>
      <c r="E28">
        <f t="shared" si="1"/>
        <v>0.29530277169776192</v>
      </c>
      <c r="F28" s="1">
        <f t="shared" si="2"/>
        <v>2746245.7955706664</v>
      </c>
      <c r="G28" s="1">
        <f t="shared" si="3"/>
        <v>51899012.901681364</v>
      </c>
      <c r="H28" s="1">
        <f t="shared" si="3"/>
        <v>864839175.39425635</v>
      </c>
      <c r="I28">
        <f t="shared" si="4"/>
        <v>3148.7836610193726</v>
      </c>
      <c r="J28">
        <f t="shared" si="5"/>
        <v>274863.62796825008</v>
      </c>
      <c r="K28">
        <f t="shared" si="5"/>
        <v>10716143.352175761</v>
      </c>
      <c r="N28" s="6"/>
      <c r="O28" s="6"/>
      <c r="P28" s="9"/>
    </row>
    <row r="29" spans="1:16" x14ac:dyDescent="0.3">
      <c r="A29">
        <v>26</v>
      </c>
      <c r="B29">
        <v>1.3468361597801901E-3</v>
      </c>
      <c r="C29" s="1">
        <f t="shared" si="6"/>
        <v>9288566.9746911637</v>
      </c>
      <c r="D29" s="1">
        <f t="shared" si="0"/>
        <v>12510.177874052897</v>
      </c>
      <c r="E29">
        <f t="shared" si="1"/>
        <v>0.28124073495024943</v>
      </c>
      <c r="F29" s="1">
        <f t="shared" si="2"/>
        <v>2612323.4025967577</v>
      </c>
      <c r="G29" s="1">
        <f t="shared" si="3"/>
        <v>49152767.106110692</v>
      </c>
      <c r="H29" s="1">
        <f t="shared" si="3"/>
        <v>812940162.49257493</v>
      </c>
      <c r="I29">
        <f t="shared" si="4"/>
        <v>3350.830113959034</v>
      </c>
      <c r="J29">
        <f t="shared" si="5"/>
        <v>271714.84430723067</v>
      </c>
      <c r="K29">
        <f t="shared" si="5"/>
        <v>10441279.724207511</v>
      </c>
      <c r="M29" t="s">
        <v>33</v>
      </c>
    </row>
    <row r="30" spans="1:16" x14ac:dyDescent="0.3">
      <c r="A30">
        <v>27</v>
      </c>
      <c r="B30">
        <v>1.31185184996922E-3</v>
      </c>
      <c r="C30" s="1">
        <f t="shared" si="6"/>
        <v>9276056.7968171109</v>
      </c>
      <c r="D30" s="1">
        <f t="shared" si="0"/>
        <v>12168.812269324437</v>
      </c>
      <c r="E30">
        <f t="shared" si="1"/>
        <v>0.26784831900023753</v>
      </c>
      <c r="F30" s="1">
        <f t="shared" si="2"/>
        <v>2484576.219978191</v>
      </c>
      <c r="G30" s="1">
        <f t="shared" si="3"/>
        <v>46540443.703513935</v>
      </c>
      <c r="H30" s="1">
        <f t="shared" si="3"/>
        <v>763787395.38646436</v>
      </c>
      <c r="I30">
        <f t="shared" si="4"/>
        <v>3104.1865814933485</v>
      </c>
      <c r="J30">
        <f t="shared" si="5"/>
        <v>268364.01419327169</v>
      </c>
      <c r="K30">
        <f t="shared" si="5"/>
        <v>10169564.87990028</v>
      </c>
      <c r="M30" s="3" t="s">
        <v>21</v>
      </c>
      <c r="N30" s="4">
        <f>G1</f>
        <v>0.05</v>
      </c>
      <c r="O30" t="s">
        <v>34</v>
      </c>
    </row>
    <row r="31" spans="1:16" x14ac:dyDescent="0.3">
      <c r="A31">
        <v>28</v>
      </c>
      <c r="B31">
        <v>1.4041495304155699E-3</v>
      </c>
      <c r="C31" s="1">
        <f t="shared" si="6"/>
        <v>9263887.9845477864</v>
      </c>
      <c r="D31" s="1">
        <f t="shared" si="0"/>
        <v>13007.883963325992</v>
      </c>
      <c r="E31">
        <f t="shared" si="1"/>
        <v>0.25509363714308336</v>
      </c>
      <c r="F31" s="1">
        <f t="shared" si="2"/>
        <v>2363158.8800644027</v>
      </c>
      <c r="G31" s="1">
        <f t="shared" si="3"/>
        <v>44055867.483535744</v>
      </c>
      <c r="H31" s="1">
        <f t="shared" si="3"/>
        <v>717246951.68295026</v>
      </c>
      <c r="I31">
        <f t="shared" si="4"/>
        <v>3160.2175540381081</v>
      </c>
      <c r="J31">
        <f t="shared" si="5"/>
        <v>265259.82761177834</v>
      </c>
      <c r="K31">
        <f t="shared" si="5"/>
        <v>9901200.86570701</v>
      </c>
      <c r="M31" t="s">
        <v>23</v>
      </c>
      <c r="N31" s="5" t="s">
        <v>35</v>
      </c>
      <c r="O31" s="5" t="s">
        <v>24</v>
      </c>
      <c r="P31" s="5" t="s">
        <v>32</v>
      </c>
    </row>
    <row r="32" spans="1:16" x14ac:dyDescent="0.3">
      <c r="A32">
        <v>29</v>
      </c>
      <c r="B32">
        <v>1.7439878262772101E-3</v>
      </c>
      <c r="C32" s="1">
        <f t="shared" si="6"/>
        <v>9250880.1005844604</v>
      </c>
      <c r="D32" s="1">
        <f t="shared" si="0"/>
        <v>16133.422277769074</v>
      </c>
      <c r="E32">
        <f t="shared" si="1"/>
        <v>0.2429463210886508</v>
      </c>
      <c r="F32" s="1">
        <f t="shared" si="2"/>
        <v>2247467.2872692025</v>
      </c>
      <c r="G32" s="1">
        <f t="shared" si="3"/>
        <v>41692708.603471346</v>
      </c>
      <c r="H32" s="1">
        <f t="shared" si="3"/>
        <v>673191084.19941449</v>
      </c>
      <c r="I32">
        <f t="shared" si="4"/>
        <v>3732.9100847177874</v>
      </c>
      <c r="J32">
        <f t="shared" si="5"/>
        <v>262099.61005774015</v>
      </c>
      <c r="K32">
        <f t="shared" si="5"/>
        <v>9635941.0380952321</v>
      </c>
      <c r="M32">
        <v>25</v>
      </c>
      <c r="N32" s="6">
        <f>VLOOKUP(M32+1,$A$2:$K$102,7)</f>
        <v>49152767.106110692</v>
      </c>
      <c r="O32" s="6">
        <f t="shared" ref="O32:O34" si="8">VLOOKUP(M32,$A$2:$K$102,6)</f>
        <v>2746245.7955706664</v>
      </c>
      <c r="P32" s="9">
        <f>(N32-G$83)/O32</f>
        <v>17.644235076565547</v>
      </c>
    </row>
    <row r="33" spans="1:16" x14ac:dyDescent="0.3">
      <c r="A33">
        <v>30</v>
      </c>
      <c r="B33">
        <v>1.61972229399478E-3</v>
      </c>
      <c r="C33" s="1">
        <f t="shared" si="6"/>
        <v>9234746.6783066913</v>
      </c>
      <c r="D33" s="1">
        <f t="shared" si="0"/>
        <v>14957.725074246526</v>
      </c>
      <c r="E33">
        <f t="shared" si="1"/>
        <v>0.23137744865585788</v>
      </c>
      <c r="F33" s="1">
        <f t="shared" si="2"/>
        <v>2136712.1254097605</v>
      </c>
      <c r="G33" s="1">
        <f t="shared" si="3"/>
        <v>39445241.316202149</v>
      </c>
      <c r="H33" s="1">
        <f t="shared" si="3"/>
        <v>631498375.59594309</v>
      </c>
      <c r="I33">
        <f t="shared" si="4"/>
        <v>3296.0764432142037</v>
      </c>
      <c r="J33">
        <f t="shared" si="5"/>
        <v>258366.6999730223</v>
      </c>
      <c r="K33">
        <f t="shared" si="5"/>
        <v>9373841.4280374944</v>
      </c>
      <c r="M33">
        <v>50</v>
      </c>
      <c r="N33" s="6">
        <f t="shared" ref="N33:N34" si="9">VLOOKUP(M33+1,$A$2:$K$102,7)</f>
        <v>11189199.658299221</v>
      </c>
      <c r="O33" s="6">
        <f t="shared" si="8"/>
        <v>764435.42404270836</v>
      </c>
      <c r="P33" s="9">
        <f>(N33-G$83)/O33</f>
        <v>13.724951274211184</v>
      </c>
    </row>
    <row r="34" spans="1:16" x14ac:dyDescent="0.3">
      <c r="A34">
        <v>31</v>
      </c>
      <c r="B34">
        <v>1.6951273064436899E-3</v>
      </c>
      <c r="C34" s="1">
        <f t="shared" si="6"/>
        <v>9219788.9532324448</v>
      </c>
      <c r="D34" s="1">
        <f t="shared" si="0"/>
        <v>15628.716014271602</v>
      </c>
      <c r="E34">
        <f t="shared" si="1"/>
        <v>0.22035947491034086</v>
      </c>
      <c r="F34" s="1">
        <f t="shared" si="2"/>
        <v>2031667.8525184628</v>
      </c>
      <c r="G34" s="1">
        <f t="shared" si="3"/>
        <v>37308529.190792397</v>
      </c>
      <c r="H34" s="1">
        <f t="shared" si="3"/>
        <v>592053134.27974117</v>
      </c>
      <c r="I34">
        <f t="shared" si="4"/>
        <v>3279.9387185025953</v>
      </c>
      <c r="J34">
        <f t="shared" si="5"/>
        <v>255070.6235298081</v>
      </c>
      <c r="K34">
        <f t="shared" si="5"/>
        <v>9115474.7280644719</v>
      </c>
      <c r="M34">
        <v>75</v>
      </c>
      <c r="N34" s="6">
        <f t="shared" si="9"/>
        <v>1211967.7017006264</v>
      </c>
      <c r="O34" s="6">
        <f t="shared" si="8"/>
        <v>159537.59396343108</v>
      </c>
      <c r="P34" s="9">
        <f>(N34-G$83)/O34</f>
        <v>3.2256158431629585</v>
      </c>
    </row>
    <row r="35" spans="1:16" x14ac:dyDescent="0.3">
      <c r="A35">
        <v>32</v>
      </c>
      <c r="B35">
        <v>1.59308870919839E-3</v>
      </c>
      <c r="C35" s="1">
        <f t="shared" si="6"/>
        <v>9204160.2372181732</v>
      </c>
      <c r="D35" s="1">
        <f t="shared" si="0"/>
        <v>14663.04375156574</v>
      </c>
      <c r="E35">
        <f t="shared" si="1"/>
        <v>0.20986616658127699</v>
      </c>
      <c r="F35" s="1">
        <f t="shared" si="2"/>
        <v>1931641.8255847951</v>
      </c>
      <c r="G35" s="1">
        <f t="shared" si="3"/>
        <v>35276861.33827395</v>
      </c>
      <c r="H35" s="1">
        <f t="shared" si="3"/>
        <v>554744605.08894885</v>
      </c>
      <c r="I35">
        <f t="shared" si="4"/>
        <v>2930.7397929091885</v>
      </c>
      <c r="J35">
        <f t="shared" si="5"/>
        <v>251790.68481130552</v>
      </c>
      <c r="K35">
        <f t="shared" si="5"/>
        <v>8860404.1045346651</v>
      </c>
      <c r="N35" s="6"/>
      <c r="O35" s="9"/>
    </row>
    <row r="36" spans="1:16" x14ac:dyDescent="0.3">
      <c r="A36">
        <v>33</v>
      </c>
      <c r="B36">
        <v>2.0672659961486501E-3</v>
      </c>
      <c r="C36" s="1">
        <f t="shared" si="6"/>
        <v>9189497.1934666075</v>
      </c>
      <c r="D36" s="1">
        <f t="shared" si="0"/>
        <v>18997.1350697577</v>
      </c>
      <c r="E36">
        <f t="shared" si="1"/>
        <v>0.19987253960121618</v>
      </c>
      <c r="F36" s="1">
        <f t="shared" si="2"/>
        <v>1836728.1417164195</v>
      </c>
      <c r="G36" s="1">
        <f t="shared" si="3"/>
        <v>33345219.512689155</v>
      </c>
      <c r="H36" s="1">
        <f t="shared" si="3"/>
        <v>519467743.75067502</v>
      </c>
      <c r="I36">
        <f t="shared" si="4"/>
        <v>3616.195839561713</v>
      </c>
      <c r="J36">
        <f t="shared" si="5"/>
        <v>248859.94501839633</v>
      </c>
      <c r="K36">
        <f t="shared" si="5"/>
        <v>8608613.419723358</v>
      </c>
      <c r="M36" t="s">
        <v>36</v>
      </c>
      <c r="N36" s="6"/>
      <c r="O36" s="6"/>
      <c r="P36" s="8"/>
    </row>
    <row r="37" spans="1:16" x14ac:dyDescent="0.3">
      <c r="A37">
        <v>34</v>
      </c>
      <c r="B37">
        <v>1.8920131783513199E-3</v>
      </c>
      <c r="C37" s="1">
        <f t="shared" si="6"/>
        <v>9170500.0583968498</v>
      </c>
      <c r="D37" s="1">
        <f t="shared" si="0"/>
        <v>17350.70696255751</v>
      </c>
      <c r="E37">
        <f t="shared" si="1"/>
        <v>0.19035479962020588</v>
      </c>
      <c r="F37" s="1">
        <f t="shared" si="2"/>
        <v>1745648.7010332185</v>
      </c>
      <c r="G37" s="1">
        <f t="shared" si="3"/>
        <v>31508491.370972738</v>
      </c>
      <c r="H37" s="1">
        <f t="shared" si="3"/>
        <v>486122524.23798591</v>
      </c>
      <c r="I37">
        <f t="shared" si="4"/>
        <v>3145.5146163109957</v>
      </c>
      <c r="J37">
        <f t="shared" si="5"/>
        <v>245243.74917883458</v>
      </c>
      <c r="K37">
        <f t="shared" si="5"/>
        <v>8359753.4747049613</v>
      </c>
      <c r="M37" s="3" t="s">
        <v>21</v>
      </c>
      <c r="N37" s="4">
        <f>G1</f>
        <v>0.05</v>
      </c>
      <c r="O37" t="s">
        <v>37</v>
      </c>
    </row>
    <row r="38" spans="1:16" x14ac:dyDescent="0.3">
      <c r="A38">
        <v>35</v>
      </c>
      <c r="B38">
        <v>1.8304153041595701E-3</v>
      </c>
      <c r="C38" s="1">
        <f t="shared" si="6"/>
        <v>9153149.3514342923</v>
      </c>
      <c r="D38" s="1">
        <f t="shared" si="0"/>
        <v>16754.064654124901</v>
      </c>
      <c r="E38">
        <f t="shared" si="1"/>
        <v>0.18129028535257702</v>
      </c>
      <c r="F38" s="1">
        <f t="shared" si="2"/>
        <v>1659377.057796278</v>
      </c>
      <c r="G38" s="1">
        <f t="shared" si="3"/>
        <v>29762842.669939518</v>
      </c>
      <c r="H38" s="1">
        <f t="shared" si="3"/>
        <v>454614032.86701322</v>
      </c>
      <c r="I38">
        <f t="shared" si="4"/>
        <v>2892.7134875826932</v>
      </c>
      <c r="J38">
        <f t="shared" si="5"/>
        <v>242098.23456252363</v>
      </c>
      <c r="K38">
        <f t="shared" si="5"/>
        <v>8114509.725526127</v>
      </c>
      <c r="M38" t="s">
        <v>23</v>
      </c>
      <c r="N38" s="5" t="s">
        <v>35</v>
      </c>
      <c r="O38" s="5" t="s">
        <v>24</v>
      </c>
      <c r="P38" s="5" t="s">
        <v>38</v>
      </c>
    </row>
    <row r="39" spans="1:16" x14ac:dyDescent="0.3">
      <c r="A39">
        <v>36</v>
      </c>
      <c r="B39">
        <v>2.52801534789617E-3</v>
      </c>
      <c r="C39" s="1">
        <f t="shared" si="6"/>
        <v>9136395.2867801674</v>
      </c>
      <c r="D39" s="1">
        <f t="shared" si="0"/>
        <v>23096.947509426624</v>
      </c>
      <c r="E39">
        <f t="shared" si="1"/>
        <v>0.17265741462150191</v>
      </c>
      <c r="F39" s="1">
        <f t="shared" si="2"/>
        <v>1577466.3891755391</v>
      </c>
      <c r="G39" s="1">
        <f t="shared" si="3"/>
        <v>28103465.612143241</v>
      </c>
      <c r="H39" s="1">
        <f t="shared" si="3"/>
        <v>424851190.19707376</v>
      </c>
      <c r="I39">
        <f t="shared" si="4"/>
        <v>3797.9611834534653</v>
      </c>
      <c r="J39">
        <f t="shared" si="5"/>
        <v>239205.52107494095</v>
      </c>
      <c r="K39">
        <f t="shared" si="5"/>
        <v>7872411.4909636034</v>
      </c>
      <c r="M39">
        <v>32</v>
      </c>
      <c r="N39" s="6">
        <f>VLOOKUP(M39+10,$A$2:$K$102,7)</f>
        <v>19744940.303766303</v>
      </c>
      <c r="O39" s="6">
        <f>VLOOKUP(M39,$A$2:$K$102,6)</f>
        <v>1931641.8255847951</v>
      </c>
      <c r="P39" s="9">
        <f>(N39-$G$83)/O39</f>
        <v>9.8608237513016448</v>
      </c>
    </row>
    <row r="40" spans="1:16" x14ac:dyDescent="0.3">
      <c r="A40">
        <v>37</v>
      </c>
      <c r="B40">
        <v>2.3754825106467401E-3</v>
      </c>
      <c r="C40" s="1">
        <f t="shared" si="6"/>
        <v>9113298.3392707407</v>
      </c>
      <c r="D40" s="1">
        <f t="shared" si="0"/>
        <v>21648.480819243938</v>
      </c>
      <c r="E40">
        <f t="shared" si="1"/>
        <v>0.16443563297285896</v>
      </c>
      <c r="F40" s="1">
        <f t="shared" si="2"/>
        <v>1498550.9808884887</v>
      </c>
      <c r="G40" s="1">
        <f t="shared" si="3"/>
        <v>26525999.222967699</v>
      </c>
      <c r="H40" s="1">
        <f t="shared" si="3"/>
        <v>396747724.58493054</v>
      </c>
      <c r="I40">
        <f t="shared" si="4"/>
        <v>3390.2682346792126</v>
      </c>
      <c r="J40">
        <f t="shared" si="5"/>
        <v>235407.55989148744</v>
      </c>
      <c r="K40">
        <f t="shared" si="5"/>
        <v>7633205.9698886639</v>
      </c>
      <c r="M40">
        <v>50</v>
      </c>
      <c r="N40" s="6">
        <f>VLOOKUP(M40+10,$A$2:$K$102,7)</f>
        <v>5866134.7071252679</v>
      </c>
      <c r="O40" s="6">
        <f>VLOOKUP(M40,$A$2:$K$102,6)</f>
        <v>764435.42404270836</v>
      </c>
      <c r="P40" s="9">
        <f t="shared" ref="P40:P41" si="10">(N40-$G$83)/O40</f>
        <v>6.7615573971679375</v>
      </c>
    </row>
    <row r="41" spans="1:16" x14ac:dyDescent="0.3">
      <c r="A41">
        <v>38</v>
      </c>
      <c r="B41">
        <v>2.1059662846473599E-3</v>
      </c>
      <c r="C41" s="1">
        <f t="shared" si="6"/>
        <v>9091649.8584514968</v>
      </c>
      <c r="D41" s="1">
        <f t="shared" si="0"/>
        <v>19146.708073716611</v>
      </c>
      <c r="E41">
        <f t="shared" si="1"/>
        <v>0.15660536473605616</v>
      </c>
      <c r="F41" s="1">
        <f t="shared" si="2"/>
        <v>1423801.14213531</v>
      </c>
      <c r="G41" s="1">
        <f t="shared" si="3"/>
        <v>25027448.24207921</v>
      </c>
      <c r="H41" s="1">
        <f t="shared" si="3"/>
        <v>370221725.3619628</v>
      </c>
      <c r="I41">
        <f t="shared" si="4"/>
        <v>2855.6925727420767</v>
      </c>
      <c r="J41">
        <f t="shared" si="5"/>
        <v>232017.29165680826</v>
      </c>
      <c r="K41">
        <f t="shared" si="5"/>
        <v>7397798.4099971764</v>
      </c>
      <c r="M41">
        <v>68</v>
      </c>
      <c r="N41" s="6">
        <f>VLOOKUP(M41+10,$A$2:$K$102,7)</f>
        <v>930807.36264043313</v>
      </c>
      <c r="O41" s="6">
        <f>VLOOKUP(M41,$A$2:$K$102,6)</f>
        <v>273994.37999695586</v>
      </c>
      <c r="P41" s="9">
        <f>(N41-$G$83)/O41</f>
        <v>0.85201255445802504</v>
      </c>
    </row>
    <row r="42" spans="1:16" x14ac:dyDescent="0.3">
      <c r="A42">
        <v>39</v>
      </c>
      <c r="B42">
        <v>2.8184782174829098E-3</v>
      </c>
      <c r="C42" s="1">
        <f t="shared" si="6"/>
        <v>9072503.1503777802</v>
      </c>
      <c r="D42" s="1">
        <f t="shared" si="0"/>
        <v>25570.652507385239</v>
      </c>
      <c r="E42">
        <f t="shared" si="1"/>
        <v>0.14914796641529154</v>
      </c>
      <c r="F42" s="1">
        <f t="shared" si="2"/>
        <v>1353145.3951751718</v>
      </c>
      <c r="G42" s="1">
        <f t="shared" si="3"/>
        <v>23603647.099943902</v>
      </c>
      <c r="H42" s="1">
        <f t="shared" si="3"/>
        <v>345194277.1198836</v>
      </c>
      <c r="I42">
        <f t="shared" si="4"/>
        <v>3632.2007822748424</v>
      </c>
      <c r="J42">
        <f t="shared" si="5"/>
        <v>229161.59908406614</v>
      </c>
      <c r="K42">
        <f t="shared" si="5"/>
        <v>7165781.1183403675</v>
      </c>
    </row>
    <row r="43" spans="1:16" x14ac:dyDescent="0.3">
      <c r="A43">
        <v>40</v>
      </c>
      <c r="B43">
        <v>2.7778963773961102E-3</v>
      </c>
      <c r="C43" s="1">
        <f t="shared" si="6"/>
        <v>9046932.497870395</v>
      </c>
      <c r="D43" s="1">
        <f t="shared" si="0"/>
        <v>25131.441012380645</v>
      </c>
      <c r="E43">
        <f t="shared" si="1"/>
        <v>0.14204568230027767</v>
      </c>
      <c r="F43" s="1">
        <f t="shared" si="2"/>
        <v>1285077.6993845557</v>
      </c>
      <c r="G43" s="1">
        <f t="shared" si="3"/>
        <v>22250501.704768728</v>
      </c>
      <c r="H43" s="1">
        <f t="shared" si="3"/>
        <v>321590630.01993972</v>
      </c>
      <c r="I43">
        <f t="shared" si="4"/>
        <v>3399.8216055169428</v>
      </c>
      <c r="J43">
        <f t="shared" si="5"/>
        <v>225529.39830179131</v>
      </c>
      <c r="K43">
        <f t="shared" si="5"/>
        <v>6936619.5192563012</v>
      </c>
    </row>
    <row r="44" spans="1:16" x14ac:dyDescent="0.3">
      <c r="A44">
        <v>41</v>
      </c>
      <c r="B44">
        <v>2.49384966650562E-3</v>
      </c>
      <c r="C44" s="1">
        <f t="shared" si="6"/>
        <v>9021801.0568580143</v>
      </c>
      <c r="D44" s="1">
        <f t="shared" si="0"/>
        <v>22499.015556924045</v>
      </c>
      <c r="E44">
        <f t="shared" si="1"/>
        <v>0.13528160219074065</v>
      </c>
      <c r="F44" s="1">
        <f t="shared" si="2"/>
        <v>1220483.7016178693</v>
      </c>
      <c r="G44" s="1">
        <f t="shared" si="3"/>
        <v>20965424.005384173</v>
      </c>
      <c r="H44" s="1">
        <f t="shared" si="3"/>
        <v>299340128.31517094</v>
      </c>
      <c r="I44">
        <f t="shared" si="4"/>
        <v>2898.7646402429364</v>
      </c>
      <c r="J44">
        <f t="shared" si="5"/>
        <v>222129.57669627437</v>
      </c>
      <c r="K44">
        <f t="shared" si="5"/>
        <v>6711090.1209545108</v>
      </c>
    </row>
    <row r="45" spans="1:16" x14ac:dyDescent="0.3">
      <c r="A45">
        <v>42</v>
      </c>
      <c r="B45">
        <v>2.6428836565312798E-3</v>
      </c>
      <c r="C45" s="1">
        <f t="shared" si="6"/>
        <v>8999302.0413010903</v>
      </c>
      <c r="D45" s="1">
        <f t="shared" si="0"/>
        <v>23784.108285143971</v>
      </c>
      <c r="E45">
        <f t="shared" si="1"/>
        <v>0.12883962113403868</v>
      </c>
      <c r="F45" s="1">
        <f t="shared" si="2"/>
        <v>1159466.6654720134</v>
      </c>
      <c r="G45" s="1">
        <f t="shared" si="3"/>
        <v>19744940.303766303</v>
      </c>
      <c r="H45" s="1">
        <f t="shared" si="3"/>
        <v>278374704.30978674</v>
      </c>
      <c r="I45">
        <f t="shared" si="4"/>
        <v>2918.4147623513336</v>
      </c>
      <c r="J45">
        <f t="shared" si="5"/>
        <v>219230.81205603146</v>
      </c>
      <c r="K45">
        <f t="shared" si="5"/>
        <v>6488960.544258236</v>
      </c>
    </row>
    <row r="46" spans="1:16" x14ac:dyDescent="0.3">
      <c r="A46">
        <v>43</v>
      </c>
      <c r="B46">
        <v>3.0605803580988399E-3</v>
      </c>
      <c r="C46" s="1">
        <f t="shared" si="6"/>
        <v>8975517.9330159463</v>
      </c>
      <c r="D46" s="1">
        <f t="shared" si="0"/>
        <v>27470.293889552355</v>
      </c>
      <c r="E46">
        <f t="shared" si="1"/>
        <v>0.12270440108003686</v>
      </c>
      <c r="F46" s="1">
        <f t="shared" si="2"/>
        <v>1101335.552353852</v>
      </c>
      <c r="G46" s="1">
        <f t="shared" si="3"/>
        <v>18585473.638294291</v>
      </c>
      <c r="H46" s="1">
        <f t="shared" si="3"/>
        <v>258629764.00602055</v>
      </c>
      <c r="I46">
        <f t="shared" si="4"/>
        <v>3210.2151992477311</v>
      </c>
      <c r="J46">
        <f t="shared" si="5"/>
        <v>216312.39729368014</v>
      </c>
      <c r="K46">
        <f t="shared" si="5"/>
        <v>6269729.7322022049</v>
      </c>
    </row>
    <row r="47" spans="1:16" x14ac:dyDescent="0.3">
      <c r="A47">
        <v>44</v>
      </c>
      <c r="B47">
        <v>3.0566575104915002E-3</v>
      </c>
      <c r="C47" s="1">
        <f t="shared" si="6"/>
        <v>8948047.6391263939</v>
      </c>
      <c r="D47" s="1">
        <f t="shared" si="0"/>
        <v>27351.117020370439</v>
      </c>
      <c r="E47">
        <f t="shared" si="1"/>
        <v>0.11686133436193985</v>
      </c>
      <c r="F47" s="1">
        <f t="shared" si="2"/>
        <v>1045680.7870425161</v>
      </c>
      <c r="G47" s="1">
        <f t="shared" si="3"/>
        <v>17484138.085940443</v>
      </c>
      <c r="H47" s="1">
        <f t="shared" si="3"/>
        <v>240044290.36772627</v>
      </c>
      <c r="I47">
        <f t="shared" si="4"/>
        <v>3044.0838393238605</v>
      </c>
      <c r="J47">
        <f t="shared" si="5"/>
        <v>213102.18209443238</v>
      </c>
      <c r="K47">
        <f t="shared" si="5"/>
        <v>6053417.3349085245</v>
      </c>
    </row>
    <row r="48" spans="1:16" x14ac:dyDescent="0.3">
      <c r="A48">
        <v>45</v>
      </c>
      <c r="B48">
        <v>3.0609970989532199E-3</v>
      </c>
      <c r="C48" s="1">
        <f t="shared" si="6"/>
        <v>8920696.5221060235</v>
      </c>
      <c r="D48" s="1">
        <f t="shared" si="0"/>
        <v>27306.226174809039</v>
      </c>
      <c r="E48">
        <f t="shared" si="1"/>
        <v>0.11129650891613319</v>
      </c>
      <c r="F48" s="1">
        <f t="shared" si="2"/>
        <v>992842.38001069135</v>
      </c>
      <c r="G48" s="1">
        <f t="shared" si="3"/>
        <v>16438457.298897916</v>
      </c>
      <c r="H48" s="1">
        <f t="shared" si="3"/>
        <v>222560152.28178579</v>
      </c>
      <c r="I48">
        <f t="shared" si="4"/>
        <v>2894.3691856481746</v>
      </c>
      <c r="J48">
        <f t="shared" si="5"/>
        <v>210058.09825510855</v>
      </c>
      <c r="K48">
        <f t="shared" si="5"/>
        <v>5840315.152814093</v>
      </c>
    </row>
    <row r="49" spans="1:11" x14ac:dyDescent="0.3">
      <c r="A49">
        <v>46</v>
      </c>
      <c r="B49">
        <v>3.3944609462374501E-3</v>
      </c>
      <c r="C49" s="1">
        <f t="shared" si="6"/>
        <v>8893390.2959312145</v>
      </c>
      <c r="D49" s="1">
        <f t="shared" si="0"/>
        <v>30188.266039185226</v>
      </c>
      <c r="E49">
        <f t="shared" si="1"/>
        <v>0.10599667515822207</v>
      </c>
      <c r="F49" s="1">
        <f t="shared" si="2"/>
        <v>942669.80225310544</v>
      </c>
      <c r="G49" s="1">
        <f t="shared" si="3"/>
        <v>15445614.918887226</v>
      </c>
      <c r="H49" s="1">
        <f t="shared" si="3"/>
        <v>206121694.98288786</v>
      </c>
      <c r="I49">
        <f t="shared" si="4"/>
        <v>3047.481741852861</v>
      </c>
      <c r="J49">
        <f t="shared" si="5"/>
        <v>207163.72906946033</v>
      </c>
      <c r="K49">
        <f t="shared" si="5"/>
        <v>5630257.0545589831</v>
      </c>
    </row>
    <row r="50" spans="1:11" x14ac:dyDescent="0.3">
      <c r="A50">
        <v>47</v>
      </c>
      <c r="B50">
        <v>3.6335193821968401E-3</v>
      </c>
      <c r="C50" s="1">
        <f t="shared" si="6"/>
        <v>8863202.0298920292</v>
      </c>
      <c r="D50" s="1">
        <f t="shared" si="0"/>
        <v>32204.616363938898</v>
      </c>
      <c r="E50">
        <f t="shared" si="1"/>
        <v>0.10094921443640198</v>
      </c>
      <c r="F50" s="1">
        <f t="shared" si="2"/>
        <v>894733.28230872378</v>
      </c>
      <c r="G50" s="1">
        <f t="shared" si="3"/>
        <v>14502945.116634117</v>
      </c>
      <c r="H50" s="1">
        <f t="shared" si="3"/>
        <v>190676080.06400067</v>
      </c>
      <c r="I50">
        <f t="shared" si="4"/>
        <v>3096.2197363479313</v>
      </c>
      <c r="J50">
        <f t="shared" si="5"/>
        <v>204116.2473276075</v>
      </c>
      <c r="K50">
        <f t="shared" si="5"/>
        <v>5423093.3254895229</v>
      </c>
    </row>
    <row r="51" spans="1:11" x14ac:dyDescent="0.3">
      <c r="A51">
        <v>48</v>
      </c>
      <c r="B51">
        <v>3.77769347918372E-3</v>
      </c>
      <c r="C51" s="1">
        <f t="shared" si="6"/>
        <v>8830997.4135280903</v>
      </c>
      <c r="D51" s="1">
        <f t="shared" si="0"/>
        <v>33360.801343774423</v>
      </c>
      <c r="E51">
        <f t="shared" si="1"/>
        <v>9.6142108987049502E-2</v>
      </c>
      <c r="F51" s="1">
        <f t="shared" si="2"/>
        <v>849030.71579576994</v>
      </c>
      <c r="G51" s="1">
        <f t="shared" si="3"/>
        <v>13608211.834325397</v>
      </c>
      <c r="H51" s="1">
        <f t="shared" si="3"/>
        <v>176173134.94736654</v>
      </c>
      <c r="I51">
        <f t="shared" si="4"/>
        <v>3054.6455225604454</v>
      </c>
      <c r="J51">
        <f t="shared" si="5"/>
        <v>201020.02759125957</v>
      </c>
      <c r="K51">
        <f t="shared" si="5"/>
        <v>5218977.0781619158</v>
      </c>
    </row>
    <row r="52" spans="1:11" x14ac:dyDescent="0.3">
      <c r="A52">
        <v>49</v>
      </c>
      <c r="B52">
        <v>3.5861897558635602E-3</v>
      </c>
      <c r="C52" s="1">
        <f t="shared" si="6"/>
        <v>8797636.6121843159</v>
      </c>
      <c r="D52" s="1">
        <f t="shared" si="0"/>
        <v>31549.994294425473</v>
      </c>
      <c r="E52">
        <f t="shared" si="1"/>
        <v>9.1563913320999515E-2</v>
      </c>
      <c r="F52" s="1">
        <f t="shared" si="2"/>
        <v>805546.0361876965</v>
      </c>
      <c r="G52" s="1">
        <f t="shared" si="3"/>
        <v>12759181.118529627</v>
      </c>
      <c r="H52" s="1">
        <f t="shared" si="3"/>
        <v>162564923.11304113</v>
      </c>
      <c r="I52">
        <f t="shared" si="4"/>
        <v>2751.2770884312413</v>
      </c>
      <c r="J52">
        <f t="shared" si="5"/>
        <v>197965.38206869914</v>
      </c>
      <c r="K52">
        <f t="shared" si="5"/>
        <v>5017957.0505706565</v>
      </c>
    </row>
    <row r="53" spans="1:11" x14ac:dyDescent="0.3">
      <c r="A53">
        <v>50</v>
      </c>
      <c r="B53">
        <v>4.1332601137460401E-3</v>
      </c>
      <c r="C53" s="1">
        <f t="shared" si="6"/>
        <v>8766086.6178898904</v>
      </c>
      <c r="D53" s="1">
        <f t="shared" si="0"/>
        <v>36232.516171367839</v>
      </c>
      <c r="E53">
        <f t="shared" si="1"/>
        <v>8.7203726972380491E-2</v>
      </c>
      <c r="F53" s="1">
        <f t="shared" si="2"/>
        <v>764435.42404270836</v>
      </c>
      <c r="G53" s="1">
        <f t="shared" si="3"/>
        <v>11953635.082341928</v>
      </c>
      <c r="H53" s="1">
        <f t="shared" si="3"/>
        <v>149805741.99451146</v>
      </c>
      <c r="I53">
        <f t="shared" si="4"/>
        <v>3009.1528073622112</v>
      </c>
      <c r="J53">
        <f t="shared" si="5"/>
        <v>195214.1049802679</v>
      </c>
      <c r="K53">
        <f t="shared" si="5"/>
        <v>4819991.6685019573</v>
      </c>
    </row>
    <row r="54" spans="1:11" x14ac:dyDescent="0.3">
      <c r="A54">
        <v>51</v>
      </c>
      <c r="B54">
        <v>3.7740293241186901E-3</v>
      </c>
      <c r="C54" s="1">
        <f t="shared" si="6"/>
        <v>8729854.1017185226</v>
      </c>
      <c r="D54" s="1">
        <f t="shared" si="0"/>
        <v>32946.7253751643</v>
      </c>
      <c r="E54">
        <f t="shared" si="1"/>
        <v>8.3051168545124274E-2</v>
      </c>
      <c r="F54" s="1">
        <f t="shared" si="2"/>
        <v>725024.58437616949</v>
      </c>
      <c r="G54" s="1">
        <f t="shared" si="3"/>
        <v>11189199.658299221</v>
      </c>
      <c r="H54" s="1">
        <f t="shared" si="3"/>
        <v>137852106.91216955</v>
      </c>
      <c r="I54">
        <f t="shared" si="4"/>
        <v>2605.9657544216129</v>
      </c>
      <c r="J54">
        <f t="shared" si="5"/>
        <v>192204.95217290564</v>
      </c>
      <c r="K54">
        <f t="shared" si="5"/>
        <v>4624777.5635216888</v>
      </c>
    </row>
    <row r="55" spans="1:11" x14ac:dyDescent="0.3">
      <c r="A55">
        <v>52</v>
      </c>
      <c r="B55">
        <v>4.2622734299724496E-3</v>
      </c>
      <c r="C55" s="1">
        <f t="shared" si="6"/>
        <v>8696907.3763433583</v>
      </c>
      <c r="D55" s="1">
        <f t="shared" si="0"/>
        <v>37068.597233120352</v>
      </c>
      <c r="E55">
        <f t="shared" si="1"/>
        <v>7.909635099535646E-2</v>
      </c>
      <c r="F55" s="1">
        <f t="shared" si="2"/>
        <v>687893.63841335895</v>
      </c>
      <c r="G55" s="1">
        <f t="shared" si="3"/>
        <v>10464175.073923051</v>
      </c>
      <c r="H55" s="1">
        <f t="shared" si="3"/>
        <v>126662907.25387026</v>
      </c>
      <c r="I55">
        <f t="shared" si="4"/>
        <v>2792.3721691965579</v>
      </c>
      <c r="J55">
        <f t="shared" si="5"/>
        <v>189598.98641848404</v>
      </c>
      <c r="K55">
        <f t="shared" si="5"/>
        <v>4432572.6113487845</v>
      </c>
    </row>
    <row r="56" spans="1:11" x14ac:dyDescent="0.3">
      <c r="A56">
        <v>53</v>
      </c>
      <c r="B56">
        <v>4.2180702543515797E-3</v>
      </c>
      <c r="C56" s="1">
        <f t="shared" si="6"/>
        <v>8659838.779110238</v>
      </c>
      <c r="D56" s="1">
        <f t="shared" si="0"/>
        <v>36527.808361645788</v>
      </c>
      <c r="E56">
        <f t="shared" si="1"/>
        <v>7.532985809081566E-2</v>
      </c>
      <c r="F56" s="1">
        <f t="shared" si="2"/>
        <v>652344.42631971661</v>
      </c>
      <c r="G56" s="1">
        <f t="shared" si="3"/>
        <v>9776281.435509691</v>
      </c>
      <c r="H56" s="1">
        <f t="shared" si="3"/>
        <v>116198732.17994724</v>
      </c>
      <c r="I56">
        <f t="shared" si="4"/>
        <v>2620.6044002393205</v>
      </c>
      <c r="J56">
        <f t="shared" si="5"/>
        <v>186806.61424928746</v>
      </c>
      <c r="K56">
        <f t="shared" si="5"/>
        <v>4242973.6249303017</v>
      </c>
    </row>
    <row r="57" spans="1:11" x14ac:dyDescent="0.3">
      <c r="A57">
        <v>54</v>
      </c>
      <c r="B57">
        <v>4.8988678470139498E-3</v>
      </c>
      <c r="C57" s="1">
        <f t="shared" si="6"/>
        <v>8623310.9707485922</v>
      </c>
      <c r="D57" s="1">
        <f t="shared" si="0"/>
        <v>42244.460849402472</v>
      </c>
      <c r="E57">
        <f t="shared" si="1"/>
        <v>7.1742721991253006E-2</v>
      </c>
      <c r="F57" s="1">
        <f t="shared" si="2"/>
        <v>618659.80161853833</v>
      </c>
      <c r="G57" s="1">
        <f t="shared" si="3"/>
        <v>9123937.0091899745</v>
      </c>
      <c r="H57" s="1">
        <f t="shared" si="3"/>
        <v>106422450.74443753</v>
      </c>
      <c r="I57">
        <f t="shared" si="4"/>
        <v>2886.4120098943363</v>
      </c>
      <c r="J57">
        <f t="shared" si="5"/>
        <v>184186.00984904816</v>
      </c>
      <c r="K57">
        <f t="shared" si="5"/>
        <v>4056167.0106810126</v>
      </c>
    </row>
    <row r="58" spans="1:11" x14ac:dyDescent="0.3">
      <c r="A58">
        <v>55</v>
      </c>
      <c r="B58">
        <v>4.9262382766404799E-3</v>
      </c>
      <c r="C58" s="1">
        <f t="shared" si="6"/>
        <v>8581066.5098991897</v>
      </c>
      <c r="D58" s="1">
        <f t="shared" si="0"/>
        <v>42272.378295462579</v>
      </c>
      <c r="E58">
        <f t="shared" si="1"/>
        <v>6.8326401896431424E-2</v>
      </c>
      <c r="F58" s="1">
        <f t="shared" si="2"/>
        <v>586313.39905538014</v>
      </c>
      <c r="G58" s="1">
        <f t="shared" si="3"/>
        <v>8505277.2075714376</v>
      </c>
      <c r="H58" s="1">
        <f t="shared" si="3"/>
        <v>97298513.735247567</v>
      </c>
      <c r="I58">
        <f t="shared" si="4"/>
        <v>2750.7804843178678</v>
      </c>
      <c r="J58">
        <f t="shared" si="5"/>
        <v>181299.59783915384</v>
      </c>
      <c r="K58">
        <f t="shared" si="5"/>
        <v>3871981.000831964</v>
      </c>
    </row>
    <row r="59" spans="1:11" x14ac:dyDescent="0.3">
      <c r="A59">
        <v>56</v>
      </c>
      <c r="B59">
        <v>5.2344987263996702E-3</v>
      </c>
      <c r="C59" s="1">
        <f t="shared" si="6"/>
        <v>8538794.1316037271</v>
      </c>
      <c r="D59" s="1">
        <f t="shared" si="0"/>
        <v>44696.307006869465</v>
      </c>
      <c r="E59">
        <f t="shared" si="1"/>
        <v>6.5072763710887077E-2</v>
      </c>
      <c r="F59" s="1">
        <f t="shared" si="2"/>
        <v>555642.93290175858</v>
      </c>
      <c r="G59" s="1">
        <f t="shared" si="3"/>
        <v>7918963.8085160628</v>
      </c>
      <c r="H59" s="1">
        <f t="shared" si="3"/>
        <v>88793236.527676135</v>
      </c>
      <c r="I59">
        <f t="shared" si="4"/>
        <v>2770.0116424831267</v>
      </c>
      <c r="J59">
        <f t="shared" si="5"/>
        <v>178548.81735483598</v>
      </c>
      <c r="K59">
        <f t="shared" si="5"/>
        <v>3690681.4029928097</v>
      </c>
    </row>
    <row r="60" spans="1:11" x14ac:dyDescent="0.3">
      <c r="A60">
        <v>57</v>
      </c>
      <c r="B60">
        <v>5.3080058345439602E-3</v>
      </c>
      <c r="C60" s="1">
        <f t="shared" si="6"/>
        <v>8494097.8245968577</v>
      </c>
      <c r="D60" s="1">
        <f t="shared" si="0"/>
        <v>45086.720812147483</v>
      </c>
      <c r="E60">
        <f t="shared" si="1"/>
        <v>6.1974060677035314E-2</v>
      </c>
      <c r="F60" s="1">
        <f t="shared" si="2"/>
        <v>526413.73397823935</v>
      </c>
      <c r="G60" s="1">
        <f t="shared" si="3"/>
        <v>7363320.8756143022</v>
      </c>
      <c r="H60" s="1">
        <f t="shared" si="3"/>
        <v>80874272.719160065</v>
      </c>
      <c r="I60">
        <f t="shared" si="4"/>
        <v>2661.1496869910275</v>
      </c>
      <c r="J60">
        <f t="shared" si="5"/>
        <v>175778.80571235286</v>
      </c>
      <c r="K60">
        <f t="shared" si="5"/>
        <v>3512132.5856379741</v>
      </c>
    </row>
    <row r="61" spans="1:11" x14ac:dyDescent="0.3">
      <c r="A61">
        <v>58</v>
      </c>
      <c r="B61">
        <v>6.0032537845932698E-3</v>
      </c>
      <c r="C61" s="1">
        <f t="shared" si="6"/>
        <v>8449011.1037847102</v>
      </c>
      <c r="D61" s="1">
        <f t="shared" si="0"/>
        <v>50721.557884866372</v>
      </c>
      <c r="E61">
        <f t="shared" si="1"/>
        <v>5.9022914930509818E-2</v>
      </c>
      <c r="F61" s="1">
        <f t="shared" si="2"/>
        <v>498685.26362561778</v>
      </c>
      <c r="G61" s="1">
        <f t="shared" si="3"/>
        <v>6836907.1416360633</v>
      </c>
      <c r="H61" s="1">
        <f t="shared" si="3"/>
        <v>73510951.843545765</v>
      </c>
      <c r="I61">
        <f t="shared" si="4"/>
        <v>2851.1754249346641</v>
      </c>
      <c r="J61">
        <f t="shared" si="5"/>
        <v>173117.65602536182</v>
      </c>
      <c r="K61">
        <f t="shared" si="5"/>
        <v>3336353.7799256206</v>
      </c>
    </row>
    <row r="62" spans="1:11" x14ac:dyDescent="0.3">
      <c r="A62">
        <v>59</v>
      </c>
      <c r="B62">
        <v>6.2305927171141303E-3</v>
      </c>
      <c r="C62" s="1">
        <f t="shared" si="6"/>
        <v>8398289.5458998438</v>
      </c>
      <c r="D62" s="1">
        <f t="shared" si="0"/>
        <v>52326.321680899709</v>
      </c>
      <c r="E62">
        <f t="shared" si="1"/>
        <v>5.621229993381887E-2</v>
      </c>
      <c r="F62" s="1">
        <f t="shared" si="2"/>
        <v>472087.1708851775</v>
      </c>
      <c r="G62" s="1">
        <f t="shared" si="3"/>
        <v>6338221.8780104453</v>
      </c>
      <c r="H62" s="1">
        <f t="shared" si="3"/>
        <v>66674044.701909706</v>
      </c>
      <c r="I62">
        <f t="shared" si="4"/>
        <v>2801.3170369144987</v>
      </c>
      <c r="J62">
        <f t="shared" si="5"/>
        <v>170266.48060042714</v>
      </c>
      <c r="K62">
        <f t="shared" si="5"/>
        <v>3163236.1239002594</v>
      </c>
    </row>
    <row r="63" spans="1:11" x14ac:dyDescent="0.3">
      <c r="A63">
        <v>60</v>
      </c>
      <c r="B63">
        <v>7.3784713640910604E-3</v>
      </c>
      <c r="C63" s="1">
        <f t="shared" si="6"/>
        <v>8345963.2242189441</v>
      </c>
      <c r="D63" s="1">
        <f t="shared" si="0"/>
        <v>61580.450655656867</v>
      </c>
      <c r="E63">
        <f t="shared" si="1"/>
        <v>5.353552374649416E-2</v>
      </c>
      <c r="F63" s="1">
        <f t="shared" si="2"/>
        <v>446805.51237754023</v>
      </c>
      <c r="G63" s="1">
        <f t="shared" si="3"/>
        <v>5866134.7071252679</v>
      </c>
      <c r="H63" s="1">
        <f t="shared" si="3"/>
        <v>60335822.823899262</v>
      </c>
      <c r="I63">
        <f t="shared" si="4"/>
        <v>3139.7539794245049</v>
      </c>
      <c r="J63">
        <f t="shared" si="5"/>
        <v>167465.16356351264</v>
      </c>
      <c r="K63">
        <f t="shared" si="5"/>
        <v>2992969.6432998315</v>
      </c>
    </row>
    <row r="64" spans="1:11" x14ac:dyDescent="0.3">
      <c r="A64">
        <v>61</v>
      </c>
      <c r="B64">
        <v>7.9801862016319596E-3</v>
      </c>
      <c r="C64" s="1">
        <f t="shared" si="6"/>
        <v>8284382.7735632872</v>
      </c>
      <c r="D64" s="1">
        <f t="shared" si="0"/>
        <v>66110.917098627426</v>
      </c>
      <c r="E64">
        <f t="shared" si="1"/>
        <v>5.0986213091899199E-2</v>
      </c>
      <c r="F64" s="1">
        <f t="shared" si="2"/>
        <v>422389.30542775668</v>
      </c>
      <c r="G64" s="1">
        <f t="shared" si="3"/>
        <v>5419329.1947477274</v>
      </c>
      <c r="H64" s="1">
        <f t="shared" si="3"/>
        <v>54469688.116773985</v>
      </c>
      <c r="I64">
        <f t="shared" si="4"/>
        <v>3210.233625610952</v>
      </c>
      <c r="J64">
        <f t="shared" si="5"/>
        <v>164325.40958408813</v>
      </c>
      <c r="K64">
        <f t="shared" si="5"/>
        <v>2825504.4797363193</v>
      </c>
    </row>
    <row r="65" spans="1:11" x14ac:dyDescent="0.3">
      <c r="A65">
        <v>62</v>
      </c>
      <c r="B65">
        <v>8.4253594701529308E-3</v>
      </c>
      <c r="C65" s="1">
        <f t="shared" si="6"/>
        <v>8218271.8564646598</v>
      </c>
      <c r="D65" s="1">
        <f t="shared" si="0"/>
        <v>69241.894614155404</v>
      </c>
      <c r="E65">
        <f t="shared" si="1"/>
        <v>4.8558298182761132E-2</v>
      </c>
      <c r="F65" s="1">
        <f t="shared" si="2"/>
        <v>399065.29535320483</v>
      </c>
      <c r="G65" s="1">
        <f t="shared" si="3"/>
        <v>4996939.8893199703</v>
      </c>
      <c r="H65" s="1">
        <f t="shared" si="3"/>
        <v>49050358.922026254</v>
      </c>
      <c r="I65">
        <f t="shared" si="4"/>
        <v>3202.1605384890295</v>
      </c>
      <c r="J65">
        <f t="shared" si="5"/>
        <v>161115.17595847716</v>
      </c>
      <c r="K65">
        <f t="shared" si="5"/>
        <v>2661179.070152231</v>
      </c>
    </row>
    <row r="66" spans="1:11" x14ac:dyDescent="0.3">
      <c r="A66">
        <v>63</v>
      </c>
      <c r="B66">
        <v>9.1418616424406903E-3</v>
      </c>
      <c r="C66" s="1">
        <f t="shared" si="6"/>
        <v>8149029.9618505044</v>
      </c>
      <c r="D66" s="1">
        <f t="shared" si="0"/>
        <v>74497.304431340657</v>
      </c>
      <c r="E66">
        <f t="shared" si="1"/>
        <v>4.6245998269296325E-2</v>
      </c>
      <c r="F66" s="1">
        <f t="shared" si="2"/>
        <v>376860.02551218233</v>
      </c>
      <c r="G66" s="1">
        <f t="shared" si="3"/>
        <v>4597874.5939667672</v>
      </c>
      <c r="H66" s="1">
        <f t="shared" si="3"/>
        <v>44053419.032706283</v>
      </c>
      <c r="I66">
        <f t="shared" si="4"/>
        <v>3281.1449636181155</v>
      </c>
      <c r="J66">
        <f t="shared" si="5"/>
        <v>157913.01541998814</v>
      </c>
      <c r="K66">
        <f t="shared" si="5"/>
        <v>2500063.8941937541</v>
      </c>
    </row>
    <row r="67" spans="1:11" x14ac:dyDescent="0.3">
      <c r="A67">
        <v>64</v>
      </c>
      <c r="B67">
        <v>1.11176155215588E-2</v>
      </c>
      <c r="C67" s="1">
        <f t="shared" si="6"/>
        <v>8074532.6574191637</v>
      </c>
      <c r="D67" s="1">
        <f t="shared" si="0"/>
        <v>89769.54960145615</v>
      </c>
      <c r="E67">
        <f t="shared" si="1"/>
        <v>4.4043807875520306E-2</v>
      </c>
      <c r="F67" s="1">
        <f t="shared" si="2"/>
        <v>355633.16504798405</v>
      </c>
      <c r="G67" s="1">
        <f t="shared" si="3"/>
        <v>4221014.5684545832</v>
      </c>
      <c r="H67" s="1">
        <f t="shared" si="3"/>
        <v>39455544.438739523</v>
      </c>
      <c r="I67">
        <f t="shared" si="4"/>
        <v>3765.5169483033569</v>
      </c>
      <c r="J67">
        <f t="shared" si="5"/>
        <v>154631.87045637003</v>
      </c>
      <c r="K67">
        <f t="shared" si="5"/>
        <v>2342150.8787737656</v>
      </c>
    </row>
    <row r="68" spans="1:11" x14ac:dyDescent="0.3">
      <c r="A68">
        <v>65</v>
      </c>
      <c r="B68">
        <v>1.6095994696186101E-2</v>
      </c>
      <c r="C68" s="1">
        <f t="shared" si="6"/>
        <v>7984763.1078177076</v>
      </c>
      <c r="D68" s="1">
        <f t="shared" ref="D68:D113" si="11">C68-C69</f>
        <v>128522.70463373605</v>
      </c>
      <c r="E68">
        <f t="shared" ref="E68:E113" si="12">(1/(1+$G$1))^A68</f>
        <v>4.1946483690971717E-2</v>
      </c>
      <c r="F68" s="1">
        <f t="shared" ref="F68:F113" si="13">C68*E68</f>
        <v>334932.7354783481</v>
      </c>
      <c r="G68" s="1">
        <f t="shared" ref="G68:H113" si="14">SUM(F68:F178)</f>
        <v>3865381.4034065977</v>
      </c>
      <c r="H68" s="1">
        <f t="shared" si="14"/>
        <v>35234529.87028493</v>
      </c>
      <c r="I68">
        <f t="shared" ref="I68:I113" si="15">D68*E69</f>
        <v>5134.3576512748423</v>
      </c>
      <c r="J68">
        <f t="shared" ref="J68:K113" si="16">SUM(I68:I178)</f>
        <v>150866.35350806668</v>
      </c>
      <c r="K68">
        <f t="shared" si="16"/>
        <v>2187519.0083173956</v>
      </c>
    </row>
    <row r="69" spans="1:11" x14ac:dyDescent="0.3">
      <c r="A69">
        <v>66</v>
      </c>
      <c r="B69">
        <v>1.8107970911413002E-2</v>
      </c>
      <c r="C69" s="1">
        <f t="shared" ref="C69:C113" si="17">C68*(1-B68)</f>
        <v>7856240.4031839715</v>
      </c>
      <c r="D69" s="1">
        <f t="shared" si="11"/>
        <v>142260.57269392349</v>
      </c>
      <c r="E69">
        <f t="shared" si="12"/>
        <v>3.9949032086639732E-2</v>
      </c>
      <c r="F69" s="1">
        <f t="shared" si="13"/>
        <v>313849.19994715194</v>
      </c>
      <c r="G69" s="1">
        <f t="shared" si="14"/>
        <v>3530448.6679282491</v>
      </c>
      <c r="H69" s="1">
        <f t="shared" si="14"/>
        <v>31369148.466878336</v>
      </c>
      <c r="I69">
        <f t="shared" si="15"/>
        <v>5412.5449363936123</v>
      </c>
      <c r="J69">
        <f t="shared" si="16"/>
        <v>145731.99585679182</v>
      </c>
      <c r="K69">
        <f t="shared" si="16"/>
        <v>2036652.6548093297</v>
      </c>
    </row>
    <row r="70" spans="1:11" x14ac:dyDescent="0.3">
      <c r="A70">
        <v>67</v>
      </c>
      <c r="B70">
        <v>1.9753065779066901E-2</v>
      </c>
      <c r="C70" s="1">
        <f t="shared" si="17"/>
        <v>7713979.830490048</v>
      </c>
      <c r="D70" s="1">
        <f t="shared" si="11"/>
        <v>152374.75101006497</v>
      </c>
      <c r="E70">
        <f t="shared" si="12"/>
        <v>3.804669722537117E-2</v>
      </c>
      <c r="F70" s="1">
        <f t="shared" si="13"/>
        <v>293491.45501327486</v>
      </c>
      <c r="G70" s="1">
        <f t="shared" si="14"/>
        <v>3216599.4679810973</v>
      </c>
      <c r="H70" s="1">
        <f t="shared" si="14"/>
        <v>27838699.798950087</v>
      </c>
      <c r="I70">
        <f t="shared" si="15"/>
        <v>5521.2914442583451</v>
      </c>
      <c r="J70">
        <f t="shared" si="16"/>
        <v>140319.4509203982</v>
      </c>
      <c r="K70">
        <f t="shared" si="16"/>
        <v>1890920.6589525377</v>
      </c>
    </row>
    <row r="71" spans="1:11" x14ac:dyDescent="0.3">
      <c r="A71">
        <v>68</v>
      </c>
      <c r="B71">
        <v>2.2090754862385702E-2</v>
      </c>
      <c r="C71" s="1">
        <f t="shared" si="17"/>
        <v>7561605.0794799831</v>
      </c>
      <c r="D71" s="1">
        <f t="shared" si="11"/>
        <v>167041.56417696271</v>
      </c>
      <c r="E71">
        <f t="shared" si="12"/>
        <v>3.6234949738448735E-2</v>
      </c>
      <c r="F71" s="1">
        <f t="shared" si="13"/>
        <v>273994.37999695586</v>
      </c>
      <c r="G71" s="1">
        <f t="shared" si="14"/>
        <v>2923108.0129678226</v>
      </c>
      <c r="H71" s="1">
        <f t="shared" si="14"/>
        <v>24622100.330968991</v>
      </c>
      <c r="I71">
        <f t="shared" si="15"/>
        <v>5764.5168401753353</v>
      </c>
      <c r="J71">
        <f t="shared" si="16"/>
        <v>134798.15947613984</v>
      </c>
      <c r="K71">
        <f t="shared" si="16"/>
        <v>1750601.2080321398</v>
      </c>
    </row>
    <row r="72" spans="1:11" x14ac:dyDescent="0.3">
      <c r="A72">
        <v>69</v>
      </c>
      <c r="B72">
        <v>2.3571069665301599E-2</v>
      </c>
      <c r="C72" s="1">
        <f t="shared" si="17"/>
        <v>7394563.5153030204</v>
      </c>
      <c r="D72" s="1">
        <f t="shared" si="11"/>
        <v>174297.77176370565</v>
      </c>
      <c r="E72">
        <f t="shared" si="12"/>
        <v>3.4509475941379743E-2</v>
      </c>
      <c r="F72" s="1">
        <f t="shared" si="13"/>
        <v>255182.511728354</v>
      </c>
      <c r="G72" s="1">
        <f t="shared" si="14"/>
        <v>2649113.6329708663</v>
      </c>
      <c r="H72" s="1">
        <f t="shared" si="14"/>
        <v>21698992.31800117</v>
      </c>
      <c r="I72">
        <f t="shared" si="15"/>
        <v>5728.4997726816173</v>
      </c>
      <c r="J72">
        <f t="shared" si="16"/>
        <v>129033.6426359645</v>
      </c>
      <c r="K72">
        <f t="shared" si="16"/>
        <v>1615803.0485559998</v>
      </c>
    </row>
    <row r="73" spans="1:11" x14ac:dyDescent="0.3">
      <c r="A73">
        <v>70</v>
      </c>
      <c r="B73">
        <v>2.68115349431844E-2</v>
      </c>
      <c r="C73" s="1">
        <f t="shared" si="17"/>
        <v>7220265.7435393147</v>
      </c>
      <c r="D73" s="1">
        <f t="shared" si="11"/>
        <v>193586.40728198178</v>
      </c>
      <c r="E73">
        <f t="shared" si="12"/>
        <v>3.2866167563218807E-2</v>
      </c>
      <c r="F73" s="1">
        <f t="shared" si="13"/>
        <v>237302.46377813176</v>
      </c>
      <c r="G73" s="1">
        <f t="shared" si="14"/>
        <v>2393931.1212425125</v>
      </c>
      <c r="H73" s="1">
        <f t="shared" si="14"/>
        <v>19049878.685030304</v>
      </c>
      <c r="I73">
        <f t="shared" si="15"/>
        <v>6059.4698092296503</v>
      </c>
      <c r="J73">
        <f t="shared" si="16"/>
        <v>123305.14286328288</v>
      </c>
      <c r="K73">
        <f t="shared" si="16"/>
        <v>1486769.4059200352</v>
      </c>
    </row>
    <row r="74" spans="1:11" x14ac:dyDescent="0.3">
      <c r="A74">
        <v>71</v>
      </c>
      <c r="B74">
        <v>2.8335807336038701E-2</v>
      </c>
      <c r="C74" s="1">
        <f t="shared" si="17"/>
        <v>7026679.3362573329</v>
      </c>
      <c r="D74" s="1">
        <f t="shared" si="11"/>
        <v>199106.63188431226</v>
      </c>
      <c r="E74">
        <f t="shared" si="12"/>
        <v>3.1301111964970284E-2</v>
      </c>
      <c r="F74" s="1">
        <f t="shared" si="13"/>
        <v>219942.87664613387</v>
      </c>
      <c r="G74" s="1">
        <f t="shared" si="14"/>
        <v>2156628.6574643808</v>
      </c>
      <c r="H74" s="1">
        <f t="shared" si="14"/>
        <v>16655947.56378779</v>
      </c>
      <c r="I74">
        <f t="shared" si="15"/>
        <v>5935.4847405514092</v>
      </c>
      <c r="J74">
        <f t="shared" si="16"/>
        <v>117245.67305405323</v>
      </c>
      <c r="K74">
        <f t="shared" si="16"/>
        <v>1363464.2630567523</v>
      </c>
    </row>
    <row r="75" spans="1:11" x14ac:dyDescent="0.3">
      <c r="A75">
        <v>72</v>
      </c>
      <c r="B75">
        <v>2.95733553248963E-2</v>
      </c>
      <c r="C75" s="1">
        <f t="shared" si="17"/>
        <v>6827572.7043730207</v>
      </c>
      <c r="D75" s="1">
        <f t="shared" si="11"/>
        <v>201914.23359298613</v>
      </c>
      <c r="E75">
        <f t="shared" si="12"/>
        <v>2.9810582823781222E-2</v>
      </c>
      <c r="F75" s="1">
        <f t="shared" si="13"/>
        <v>203533.92158909989</v>
      </c>
      <c r="G75" s="1">
        <f t="shared" si="14"/>
        <v>1936685.7808182482</v>
      </c>
      <c r="H75" s="1">
        <f t="shared" si="14"/>
        <v>14499318.906323409</v>
      </c>
      <c r="I75">
        <f t="shared" si="15"/>
        <v>5732.5533179276408</v>
      </c>
      <c r="J75">
        <f t="shared" si="16"/>
        <v>111310.18831350181</v>
      </c>
      <c r="K75">
        <f t="shared" si="16"/>
        <v>1246218.5900026991</v>
      </c>
    </row>
    <row r="76" spans="1:11" x14ac:dyDescent="0.3">
      <c r="A76">
        <v>73</v>
      </c>
      <c r="B76">
        <v>3.1338835224826202E-2</v>
      </c>
      <c r="C76" s="1">
        <f t="shared" si="17"/>
        <v>6625658.4707800345</v>
      </c>
      <c r="D76" s="1">
        <f t="shared" si="11"/>
        <v>207640.41907174885</v>
      </c>
      <c r="E76">
        <f t="shared" si="12"/>
        <v>2.8391031260744024E-2</v>
      </c>
      <c r="F76" s="1">
        <f t="shared" si="13"/>
        <v>188109.2767669294</v>
      </c>
      <c r="G76" s="1">
        <f t="shared" si="14"/>
        <v>1733151.8592291484</v>
      </c>
      <c r="H76" s="1">
        <f t="shared" si="14"/>
        <v>12562633.125505161</v>
      </c>
      <c r="I76">
        <f t="shared" si="15"/>
        <v>5614.4053608190579</v>
      </c>
      <c r="J76">
        <f t="shared" si="16"/>
        <v>105577.63499557419</v>
      </c>
      <c r="K76">
        <f t="shared" si="16"/>
        <v>1134908.4016891972</v>
      </c>
    </row>
    <row r="77" spans="1:11" x14ac:dyDescent="0.3">
      <c r="A77">
        <v>74</v>
      </c>
      <c r="B77">
        <v>3.4706161699783501E-2</v>
      </c>
      <c r="C77" s="1">
        <f t="shared" si="17"/>
        <v>6418018.0517082857</v>
      </c>
      <c r="D77" s="1">
        <f t="shared" si="11"/>
        <v>222744.77229471691</v>
      </c>
      <c r="E77">
        <f t="shared" si="12"/>
        <v>2.7039077391184781E-2</v>
      </c>
      <c r="F77" s="1">
        <f t="shared" si="13"/>
        <v>173537.28679816131</v>
      </c>
      <c r="G77" s="1">
        <f t="shared" si="14"/>
        <v>1545042.5824622186</v>
      </c>
      <c r="H77" s="1">
        <f t="shared" si="14"/>
        <v>10829481.266276013</v>
      </c>
      <c r="I77">
        <f t="shared" si="15"/>
        <v>5736.012511008269</v>
      </c>
      <c r="J77">
        <f t="shared" si="16"/>
        <v>99963.229634755131</v>
      </c>
      <c r="K77">
        <f t="shared" si="16"/>
        <v>1029330.7666936226</v>
      </c>
    </row>
    <row r="78" spans="1:11" s="10" customFormat="1" x14ac:dyDescent="0.3">
      <c r="A78" s="10">
        <v>75</v>
      </c>
      <c r="B78" s="10">
        <v>3.3733799525178403E-2</v>
      </c>
      <c r="C78" s="11">
        <f t="shared" si="17"/>
        <v>6195273.2794135688</v>
      </c>
      <c r="D78" s="11">
        <f t="shared" si="11"/>
        <v>208990.10681143217</v>
      </c>
      <c r="E78" s="10">
        <f t="shared" si="12"/>
        <v>2.5751502277318841E-2</v>
      </c>
      <c r="F78" s="11">
        <f t="shared" si="13"/>
        <v>159537.59396343108</v>
      </c>
      <c r="G78" s="11">
        <f t="shared" si="14"/>
        <v>1371505.2956640574</v>
      </c>
      <c r="H78" s="11">
        <f t="shared" si="14"/>
        <v>9284438.6838137973</v>
      </c>
      <c r="I78" s="10">
        <f t="shared" si="15"/>
        <v>5125.53258237305</v>
      </c>
      <c r="J78" s="10">
        <f t="shared" si="16"/>
        <v>94227.217123746857</v>
      </c>
      <c r="K78" s="10">
        <f t="shared" si="16"/>
        <v>929367.5370588674</v>
      </c>
    </row>
    <row r="79" spans="1:11" x14ac:dyDescent="0.3">
      <c r="A79">
        <v>76</v>
      </c>
      <c r="B79">
        <v>3.9181694915522002E-2</v>
      </c>
      <c r="C79" s="1">
        <f t="shared" si="17"/>
        <v>5986283.1726021366</v>
      </c>
      <c r="D79" s="1">
        <f t="shared" si="11"/>
        <v>234552.72094682045</v>
      </c>
      <c r="E79">
        <f t="shared" si="12"/>
        <v>2.4525240264113179E-2</v>
      </c>
      <c r="F79" s="1">
        <f t="shared" si="13"/>
        <v>146815.03309708511</v>
      </c>
      <c r="G79" s="1">
        <f t="shared" si="14"/>
        <v>1211967.7017006264</v>
      </c>
      <c r="H79" s="1">
        <f t="shared" si="14"/>
        <v>7912933.3881497411</v>
      </c>
      <c r="I79">
        <f t="shared" si="15"/>
        <v>5478.5350817354883</v>
      </c>
      <c r="J79">
        <f t="shared" si="16"/>
        <v>89101.684541373805</v>
      </c>
      <c r="K79">
        <f t="shared" si="16"/>
        <v>835140.31993512064</v>
      </c>
    </row>
    <row r="80" spans="1:11" x14ac:dyDescent="0.3">
      <c r="A80">
        <v>77</v>
      </c>
      <c r="B80">
        <v>4.3519400183355997E-2</v>
      </c>
      <c r="C80" s="1">
        <f t="shared" si="17"/>
        <v>5751730.4516553162</v>
      </c>
      <c r="D80" s="1">
        <f t="shared" si="11"/>
        <v>250311.85927238222</v>
      </c>
      <c r="E80">
        <f t="shared" si="12"/>
        <v>2.3357371680107788E-2</v>
      </c>
      <c r="F80" s="1">
        <f t="shared" si="13"/>
        <v>134345.30596310744</v>
      </c>
      <c r="G80" s="1">
        <f t="shared" si="14"/>
        <v>1065152.6686035409</v>
      </c>
      <c r="H80" s="1">
        <f t="shared" si="14"/>
        <v>6700965.6864491142</v>
      </c>
      <c r="I80">
        <f t="shared" si="15"/>
        <v>5568.2163171084439</v>
      </c>
      <c r="J80">
        <f t="shared" si="16"/>
        <v>83623.149459638298</v>
      </c>
      <c r="K80">
        <f t="shared" si="16"/>
        <v>746038.6353937469</v>
      </c>
    </row>
    <row r="81" spans="1:11" x14ac:dyDescent="0.3">
      <c r="A81">
        <v>78</v>
      </c>
      <c r="B81">
        <v>4.7061637198488798E-2</v>
      </c>
      <c r="C81" s="1">
        <f t="shared" si="17"/>
        <v>5501418.5923829339</v>
      </c>
      <c r="D81" s="1">
        <f t="shared" si="11"/>
        <v>258905.76587174647</v>
      </c>
      <c r="E81">
        <f t="shared" si="12"/>
        <v>2.224511588581694E-2</v>
      </c>
      <c r="F81" s="1">
        <f t="shared" si="13"/>
        <v>122379.69412394628</v>
      </c>
      <c r="G81" s="1">
        <f t="shared" si="14"/>
        <v>930807.36264043313</v>
      </c>
      <c r="H81" s="1">
        <f t="shared" si="14"/>
        <v>5635813.0178455738</v>
      </c>
      <c r="I81">
        <f t="shared" si="15"/>
        <v>5485.1321574506565</v>
      </c>
      <c r="J81">
        <f t="shared" si="16"/>
        <v>78054.933142529859</v>
      </c>
      <c r="K81">
        <f t="shared" si="16"/>
        <v>662415.48593410861</v>
      </c>
    </row>
    <row r="82" spans="1:11" x14ac:dyDescent="0.3">
      <c r="A82">
        <v>79</v>
      </c>
      <c r="B82">
        <v>5.1603092899136102E-2</v>
      </c>
      <c r="C82" s="1">
        <f t="shared" si="17"/>
        <v>5242512.8265111875</v>
      </c>
      <c r="D82" s="1">
        <f t="shared" si="11"/>
        <v>270529.87641136907</v>
      </c>
      <c r="E82">
        <f t="shared" si="12"/>
        <v>2.1185824653158991E-2</v>
      </c>
      <c r="F82" s="1">
        <f t="shared" si="13"/>
        <v>111066.95748440294</v>
      </c>
      <c r="G82" s="1">
        <f t="shared" si="14"/>
        <v>808427.66851648677</v>
      </c>
      <c r="H82" s="1">
        <f t="shared" si="14"/>
        <v>4705005.6552051408</v>
      </c>
      <c r="I82">
        <f t="shared" si="15"/>
        <v>5458.47478580194</v>
      </c>
      <c r="J82">
        <f t="shared" si="16"/>
        <v>72569.8009850792</v>
      </c>
      <c r="K82">
        <f t="shared" si="16"/>
        <v>584360.55279157858</v>
      </c>
    </row>
    <row r="83" spans="1:11" x14ac:dyDescent="0.3">
      <c r="A83">
        <v>80</v>
      </c>
      <c r="B83">
        <v>5.6569514342107802E-2</v>
      </c>
      <c r="C83" s="1">
        <f t="shared" si="17"/>
        <v>4971982.9500998184</v>
      </c>
      <c r="D83" s="1">
        <f t="shared" si="11"/>
        <v>281262.66080438718</v>
      </c>
      <c r="E83">
        <f t="shared" si="12"/>
        <v>2.0176975860151419E-2</v>
      </c>
      <c r="F83" s="1">
        <f t="shared" si="13"/>
        <v>100319.57996124847</v>
      </c>
      <c r="G83" s="1">
        <f t="shared" si="14"/>
        <v>697360.71103208396</v>
      </c>
      <c r="H83" s="1">
        <f t="shared" si="14"/>
        <v>3896577.9866886507</v>
      </c>
      <c r="I83">
        <f t="shared" si="15"/>
        <v>5404.790397535312</v>
      </c>
      <c r="J83">
        <f t="shared" si="16"/>
        <v>67111.32619927729</v>
      </c>
      <c r="K83">
        <f t="shared" si="16"/>
        <v>511790.75180649926</v>
      </c>
    </row>
    <row r="84" spans="1:11" x14ac:dyDescent="0.3">
      <c r="A84">
        <v>81</v>
      </c>
      <c r="B84">
        <v>5.9376701847631698E-2</v>
      </c>
      <c r="C84" s="1">
        <f t="shared" si="17"/>
        <v>4690720.2892954312</v>
      </c>
      <c r="D84" s="1">
        <f t="shared" si="11"/>
        <v>278519.5000681309</v>
      </c>
      <c r="E84">
        <f t="shared" si="12"/>
        <v>1.9216167485858495E-2</v>
      </c>
      <c r="F84" s="1">
        <f t="shared" si="13"/>
        <v>90137.666708415622</v>
      </c>
      <c r="G84" s="1">
        <f t="shared" si="14"/>
        <v>597041.1310708354</v>
      </c>
      <c r="H84" s="1">
        <f t="shared" si="14"/>
        <v>3199217.2756565674</v>
      </c>
      <c r="I84">
        <f t="shared" si="15"/>
        <v>5097.216534654076</v>
      </c>
      <c r="J84">
        <f t="shared" si="16"/>
        <v>61706.535801741971</v>
      </c>
      <c r="K84">
        <f t="shared" si="16"/>
        <v>444679.42560722202</v>
      </c>
    </row>
    <row r="85" spans="1:11" x14ac:dyDescent="0.3">
      <c r="A85">
        <v>82</v>
      </c>
      <c r="B85">
        <v>7.05748174180785E-2</v>
      </c>
      <c r="C85" s="1">
        <f t="shared" si="17"/>
        <v>4412200.7892273003</v>
      </c>
      <c r="D85" s="1">
        <f t="shared" si="11"/>
        <v>311390.26511161868</v>
      </c>
      <c r="E85">
        <f t="shared" si="12"/>
        <v>1.8301111891293805E-2</v>
      </c>
      <c r="F85" s="1">
        <f t="shared" si="13"/>
        <v>80748.180330503659</v>
      </c>
      <c r="G85" s="1">
        <f t="shared" si="14"/>
        <v>506903.46436241997</v>
      </c>
      <c r="H85" s="1">
        <f t="shared" si="14"/>
        <v>2602176.1445857314</v>
      </c>
      <c r="I85">
        <f t="shared" si="15"/>
        <v>5427.4172225403563</v>
      </c>
      <c r="J85">
        <f t="shared" si="16"/>
        <v>56609.319267087893</v>
      </c>
      <c r="K85">
        <f t="shared" si="16"/>
        <v>382972.88980548002</v>
      </c>
    </row>
    <row r="86" spans="1:11" x14ac:dyDescent="0.3">
      <c r="A86">
        <v>83</v>
      </c>
      <c r="B86">
        <v>7.6975409981454496E-2</v>
      </c>
      <c r="C86" s="1">
        <f t="shared" si="17"/>
        <v>4100810.5241156816</v>
      </c>
      <c r="D86" s="1">
        <f t="shared" si="11"/>
        <v>315661.57135006785</v>
      </c>
      <c r="E86">
        <f t="shared" si="12"/>
        <v>1.7429630372660765E-2</v>
      </c>
      <c r="F86" s="1">
        <f t="shared" si="13"/>
        <v>71475.611663653588</v>
      </c>
      <c r="G86" s="1">
        <f t="shared" si="14"/>
        <v>426155.28403191635</v>
      </c>
      <c r="H86" s="1">
        <f t="shared" si="14"/>
        <v>2095272.680223312</v>
      </c>
      <c r="I86">
        <f t="shared" si="15"/>
        <v>5239.8709633190147</v>
      </c>
      <c r="J86">
        <f t="shared" si="16"/>
        <v>51181.90204454754</v>
      </c>
      <c r="K86">
        <f t="shared" si="16"/>
        <v>326363.57053839217</v>
      </c>
    </row>
    <row r="87" spans="1:11" x14ac:dyDescent="0.3">
      <c r="A87">
        <v>84</v>
      </c>
      <c r="B87">
        <v>8.9489535905376602E-2</v>
      </c>
      <c r="C87" s="1">
        <f t="shared" si="17"/>
        <v>3785148.9527656138</v>
      </c>
      <c r="D87" s="1">
        <f t="shared" si="11"/>
        <v>338731.22311571706</v>
      </c>
      <c r="E87">
        <f t="shared" si="12"/>
        <v>1.6599647973962631E-2</v>
      </c>
      <c r="F87" s="1">
        <f t="shared" si="13"/>
        <v>62832.140144922494</v>
      </c>
      <c r="G87" s="1">
        <f t="shared" si="14"/>
        <v>354679.67236826272</v>
      </c>
      <c r="H87" s="1">
        <f t="shared" si="14"/>
        <v>1669117.3961913956</v>
      </c>
      <c r="I87">
        <f t="shared" si="15"/>
        <v>5355.0657728673295</v>
      </c>
      <c r="J87">
        <f t="shared" si="16"/>
        <v>45942.031081228524</v>
      </c>
      <c r="K87">
        <f t="shared" si="16"/>
        <v>275181.66849384469</v>
      </c>
    </row>
    <row r="88" spans="1:11" x14ac:dyDescent="0.3">
      <c r="A88">
        <v>85</v>
      </c>
      <c r="B88">
        <v>0.10042015684392799</v>
      </c>
      <c r="C88" s="1">
        <f t="shared" si="17"/>
        <v>3446417.7296498967</v>
      </c>
      <c r="D88" s="1">
        <f t="shared" si="11"/>
        <v>346089.80896113673</v>
      </c>
      <c r="E88">
        <f t="shared" si="12"/>
        <v>1.5809188546631076E-2</v>
      </c>
      <c r="F88" s="1">
        <f t="shared" si="13"/>
        <v>54485.067698487423</v>
      </c>
      <c r="G88" s="1">
        <f t="shared" si="14"/>
        <v>291847.53222334036</v>
      </c>
      <c r="H88" s="1">
        <f t="shared" si="14"/>
        <v>1314437.7238231332</v>
      </c>
      <c r="I88">
        <f t="shared" si="15"/>
        <v>5210.8562323182286</v>
      </c>
      <c r="J88">
        <f t="shared" si="16"/>
        <v>40586.965308361192</v>
      </c>
      <c r="K88">
        <f t="shared" si="16"/>
        <v>229239.6374126162</v>
      </c>
    </row>
    <row r="89" spans="1:11" x14ac:dyDescent="0.3">
      <c r="A89">
        <v>86</v>
      </c>
      <c r="B89">
        <v>0.11063653358869099</v>
      </c>
      <c r="C89" s="1">
        <f t="shared" si="17"/>
        <v>3100327.92068876</v>
      </c>
      <c r="D89" s="1">
        <f t="shared" si="11"/>
        <v>343009.53413323825</v>
      </c>
      <c r="E89">
        <f t="shared" si="12"/>
        <v>1.5056370044410549E-2</v>
      </c>
      <c r="F89" s="1">
        <f t="shared" si="13"/>
        <v>46679.684432907889</v>
      </c>
      <c r="G89" s="1">
        <f t="shared" si="14"/>
        <v>237362.4645248529</v>
      </c>
      <c r="H89" s="1">
        <f t="shared" si="14"/>
        <v>1022590.1915997929</v>
      </c>
      <c r="I89">
        <f t="shared" si="15"/>
        <v>4918.5509282580051</v>
      </c>
      <c r="J89">
        <f t="shared" si="16"/>
        <v>35376.109076042958</v>
      </c>
      <c r="K89">
        <f t="shared" si="16"/>
        <v>188652.67210425501</v>
      </c>
    </row>
    <row r="90" spans="1:11" x14ac:dyDescent="0.3">
      <c r="A90">
        <v>87</v>
      </c>
      <c r="B90">
        <v>0.121756868530552</v>
      </c>
      <c r="C90" s="1">
        <f t="shared" si="17"/>
        <v>2757318.3865555217</v>
      </c>
      <c r="D90" s="1">
        <f t="shared" si="11"/>
        <v>335722.45228871424</v>
      </c>
      <c r="E90">
        <f t="shared" si="12"/>
        <v>1.4339400042295759E-2</v>
      </c>
      <c r="F90" s="1">
        <f t="shared" si="13"/>
        <v>39538.291388797123</v>
      </c>
      <c r="G90" s="1">
        <f t="shared" si="14"/>
        <v>190682.78009194499</v>
      </c>
      <c r="H90" s="1">
        <f t="shared" si="14"/>
        <v>785227.72707493999</v>
      </c>
      <c r="I90">
        <f t="shared" si="15"/>
        <v>4584.8176633794528</v>
      </c>
      <c r="J90">
        <f t="shared" si="16"/>
        <v>30457.558147784956</v>
      </c>
      <c r="K90">
        <f t="shared" si="16"/>
        <v>153276.56302821208</v>
      </c>
    </row>
    <row r="91" spans="1:11" x14ac:dyDescent="0.3">
      <c r="A91">
        <v>88</v>
      </c>
      <c r="B91">
        <v>0.13383173079673999</v>
      </c>
      <c r="C91" s="1">
        <f t="shared" si="17"/>
        <v>2421595.9342668075</v>
      </c>
      <c r="D91" s="1">
        <f t="shared" si="11"/>
        <v>324086.37517327536</v>
      </c>
      <c r="E91">
        <f t="shared" si="12"/>
        <v>1.3656571468853105E-2</v>
      </c>
      <c r="F91" s="1">
        <f t="shared" si="13"/>
        <v>33070.697944998763</v>
      </c>
      <c r="G91" s="1">
        <f t="shared" si="14"/>
        <v>151144.48870314789</v>
      </c>
      <c r="H91" s="1">
        <f t="shared" si="14"/>
        <v>594544.94698299514</v>
      </c>
      <c r="I91">
        <f t="shared" si="15"/>
        <v>4215.1511853670245</v>
      </c>
      <c r="J91">
        <f t="shared" si="16"/>
        <v>25872.740484405498</v>
      </c>
      <c r="K91">
        <f t="shared" si="16"/>
        <v>122819.00488042711</v>
      </c>
    </row>
    <row r="92" spans="1:11" x14ac:dyDescent="0.3">
      <c r="A92">
        <v>89</v>
      </c>
      <c r="B92">
        <v>0.14690850449435</v>
      </c>
      <c r="C92" s="1">
        <f t="shared" si="17"/>
        <v>2097509.5590935322</v>
      </c>
      <c r="D92" s="1">
        <f t="shared" si="11"/>
        <v>308141.99248903431</v>
      </c>
      <c r="E92">
        <f t="shared" si="12"/>
        <v>1.3006258541764862E-2</v>
      </c>
      <c r="F92" s="1">
        <f t="shared" si="13"/>
        <v>27280.751619393701</v>
      </c>
      <c r="G92" s="1">
        <f t="shared" si="14"/>
        <v>118073.7907581491</v>
      </c>
      <c r="H92" s="1">
        <f t="shared" si="14"/>
        <v>443400.45827984711</v>
      </c>
      <c r="I92">
        <f t="shared" si="15"/>
        <v>3816.9280208447103</v>
      </c>
      <c r="J92">
        <f t="shared" si="16"/>
        <v>21657.589299038475</v>
      </c>
      <c r="K92">
        <f t="shared" si="16"/>
        <v>96946.264396021608</v>
      </c>
    </row>
    <row r="93" spans="1:11" x14ac:dyDescent="0.3">
      <c r="A93">
        <v>90</v>
      </c>
      <c r="B93">
        <v>0.161029954053483</v>
      </c>
      <c r="C93" s="1">
        <f t="shared" si="17"/>
        <v>1789367.5666044978</v>
      </c>
      <c r="D93" s="1">
        <f t="shared" si="11"/>
        <v>288141.77703511482</v>
      </c>
      <c r="E93">
        <f t="shared" si="12"/>
        <v>1.2386912896918914E-2</v>
      </c>
      <c r="F93" s="1">
        <f t="shared" si="13"/>
        <v>22164.740188101667</v>
      </c>
      <c r="G93" s="1">
        <f t="shared" si="14"/>
        <v>90793.039138755412</v>
      </c>
      <c r="H93" s="1">
        <f t="shared" si="14"/>
        <v>325326.66752169799</v>
      </c>
      <c r="I93">
        <f t="shared" si="15"/>
        <v>3399.2258039022836</v>
      </c>
      <c r="J93">
        <f t="shared" si="16"/>
        <v>17840.661278193766</v>
      </c>
      <c r="K93">
        <f t="shared" si="16"/>
        <v>75288.675096983134</v>
      </c>
    </row>
    <row r="94" spans="1:11" x14ac:dyDescent="0.3">
      <c r="A94">
        <v>91</v>
      </c>
      <c r="B94">
        <v>0.17623263557920801</v>
      </c>
      <c r="C94" s="1">
        <f t="shared" si="17"/>
        <v>1501225.789569383</v>
      </c>
      <c r="D94" s="1">
        <f t="shared" si="11"/>
        <v>264564.97749528987</v>
      </c>
      <c r="E94">
        <f t="shared" si="12"/>
        <v>1.1797059901827537E-2</v>
      </c>
      <c r="F94" s="1">
        <f t="shared" si="13"/>
        <v>17710.050565718353</v>
      </c>
      <c r="G94" s="1">
        <f t="shared" si="14"/>
        <v>68628.298950653727</v>
      </c>
      <c r="H94" s="1">
        <f t="shared" si="14"/>
        <v>234533.62838294261</v>
      </c>
      <c r="I94">
        <f t="shared" si="15"/>
        <v>2972.465607083418</v>
      </c>
      <c r="J94">
        <f t="shared" si="16"/>
        <v>14441.435474291484</v>
      </c>
      <c r="K94">
        <f t="shared" si="16"/>
        <v>57448.01381878939</v>
      </c>
    </row>
    <row r="95" spans="1:11" x14ac:dyDescent="0.3">
      <c r="A95">
        <v>92</v>
      </c>
      <c r="B95">
        <v>0.192545184646226</v>
      </c>
      <c r="C95" s="1">
        <f t="shared" si="17"/>
        <v>1236660.8120740931</v>
      </c>
      <c r="D95" s="1">
        <f t="shared" si="11"/>
        <v>238113.08440555807</v>
      </c>
      <c r="E95">
        <f t="shared" si="12"/>
        <v>1.1235295144597654E-2</v>
      </c>
      <c r="F95" s="1">
        <f t="shared" si="13"/>
        <v>13894.249217410252</v>
      </c>
      <c r="G95" s="1">
        <f t="shared" si="14"/>
        <v>50918.248384935359</v>
      </c>
      <c r="H95" s="1">
        <f t="shared" si="14"/>
        <v>165905.32943228891</v>
      </c>
      <c r="I95">
        <f t="shared" si="15"/>
        <v>2547.8769343685121</v>
      </c>
      <c r="J95">
        <f t="shared" si="16"/>
        <v>11468.969867208069</v>
      </c>
      <c r="K95">
        <f t="shared" si="16"/>
        <v>43006.578344497902</v>
      </c>
    </row>
    <row r="96" spans="1:11" x14ac:dyDescent="0.3">
      <c r="A96">
        <v>93</v>
      </c>
      <c r="B96">
        <v>0.20998652604003901</v>
      </c>
      <c r="C96" s="1">
        <f t="shared" si="17"/>
        <v>998547.72766853508</v>
      </c>
      <c r="D96" s="1">
        <f t="shared" si="11"/>
        <v>209681.56841829058</v>
      </c>
      <c r="E96">
        <f t="shared" si="12"/>
        <v>1.0700281090093003E-2</v>
      </c>
      <c r="F96" s="1">
        <f t="shared" si="13"/>
        <v>10684.741367926963</v>
      </c>
      <c r="G96" s="1">
        <f t="shared" si="14"/>
        <v>37023.999167525108</v>
      </c>
      <c r="H96" s="1">
        <f t="shared" si="14"/>
        <v>114987.08104735349</v>
      </c>
      <c r="I96">
        <f t="shared" si="15"/>
        <v>2136.8111633212161</v>
      </c>
      <c r="J96">
        <f t="shared" si="16"/>
        <v>8921.0929328395559</v>
      </c>
      <c r="K96">
        <f t="shared" si="16"/>
        <v>31537.608477289828</v>
      </c>
    </row>
    <row r="97" spans="1:11" x14ac:dyDescent="0.3">
      <c r="A97">
        <v>94</v>
      </c>
      <c r="B97">
        <v>0.22856406704269799</v>
      </c>
      <c r="C97" s="1">
        <f t="shared" si="17"/>
        <v>788866.1592502445</v>
      </c>
      <c r="D97" s="1">
        <f t="shared" si="11"/>
        <v>180306.45771058858</v>
      </c>
      <c r="E97">
        <f t="shared" si="12"/>
        <v>1.0190743895326669E-2</v>
      </c>
      <c r="F97" s="1">
        <f t="shared" si="13"/>
        <v>8039.1329966092253</v>
      </c>
      <c r="G97" s="1">
        <f t="shared" si="14"/>
        <v>26339.257799598159</v>
      </c>
      <c r="H97" s="1">
        <f t="shared" si="14"/>
        <v>77963.081879828402</v>
      </c>
      <c r="I97">
        <f t="shared" si="15"/>
        <v>1749.958984002054</v>
      </c>
      <c r="J97">
        <f t="shared" si="16"/>
        <v>6784.2817695183385</v>
      </c>
      <c r="K97">
        <f t="shared" si="16"/>
        <v>22616.515544450267</v>
      </c>
    </row>
    <row r="98" spans="1:11" x14ac:dyDescent="0.3">
      <c r="A98">
        <v>95</v>
      </c>
      <c r="B98">
        <v>0.24827195176855399</v>
      </c>
      <c r="C98" s="1">
        <f t="shared" si="17"/>
        <v>608559.70153965591</v>
      </c>
      <c r="D98" s="1">
        <f t="shared" si="11"/>
        <v>151088.30486893904</v>
      </c>
      <c r="E98">
        <f t="shared" si="12"/>
        <v>9.7054703765015893E-3</v>
      </c>
      <c r="F98" s="1">
        <f t="shared" si="13"/>
        <v>5906.3581556257795</v>
      </c>
      <c r="G98" s="1">
        <f t="shared" si="14"/>
        <v>18300.124802988936</v>
      </c>
      <c r="H98" s="1">
        <f t="shared" si="14"/>
        <v>51623.824080230239</v>
      </c>
      <c r="I98">
        <f t="shared" si="15"/>
        <v>1396.5553020393606</v>
      </c>
      <c r="J98">
        <f t="shared" si="16"/>
        <v>5034.3227855162859</v>
      </c>
      <c r="K98">
        <f t="shared" si="16"/>
        <v>15832.233774931934</v>
      </c>
    </row>
    <row r="99" spans="1:11" x14ac:dyDescent="0.3">
      <c r="A99">
        <v>96</v>
      </c>
      <c r="B99">
        <v>0.26908946816113299</v>
      </c>
      <c r="C99" s="1">
        <f t="shared" si="17"/>
        <v>457471.39667071687</v>
      </c>
      <c r="D99" s="1">
        <f t="shared" si="11"/>
        <v>123100.73482905392</v>
      </c>
      <c r="E99">
        <f t="shared" si="12"/>
        <v>9.2433051204777045E-3</v>
      </c>
      <c r="F99" s="1">
        <f t="shared" si="13"/>
        <v>4228.5477033185243</v>
      </c>
      <c r="G99" s="1">
        <f t="shared" si="14"/>
        <v>12393.766647363154</v>
      </c>
      <c r="H99" s="1">
        <f t="shared" si="14"/>
        <v>33323.6992772413</v>
      </c>
      <c r="I99">
        <f t="shared" si="15"/>
        <v>1083.6739548380592</v>
      </c>
      <c r="J99">
        <f t="shared" si="16"/>
        <v>3637.7674834769259</v>
      </c>
      <c r="K99">
        <f t="shared" si="16"/>
        <v>10797.910989415648</v>
      </c>
    </row>
    <row r="100" spans="1:11" x14ac:dyDescent="0.3">
      <c r="A100">
        <v>97</v>
      </c>
      <c r="B100">
        <v>0.290979709631284</v>
      </c>
      <c r="C100" s="1">
        <f t="shared" si="17"/>
        <v>334370.66184166295</v>
      </c>
      <c r="D100" s="1">
        <f t="shared" si="11"/>
        <v>97295.078091907344</v>
      </c>
      <c r="E100">
        <f t="shared" si="12"/>
        <v>8.8031477337882896E-3</v>
      </c>
      <c r="F100" s="1">
        <f t="shared" si="13"/>
        <v>2943.5143340367258</v>
      </c>
      <c r="G100" s="1">
        <f t="shared" si="14"/>
        <v>8165.2189440446282</v>
      </c>
      <c r="H100" s="1">
        <f t="shared" si="14"/>
        <v>20929.932629878153</v>
      </c>
      <c r="I100">
        <f t="shared" si="15"/>
        <v>815.71709163193213</v>
      </c>
      <c r="J100">
        <f t="shared" si="16"/>
        <v>2554.0935286388667</v>
      </c>
      <c r="K100">
        <f t="shared" si="16"/>
        <v>7160.1435059387204</v>
      </c>
    </row>
    <row r="101" spans="1:11" x14ac:dyDescent="0.3">
      <c r="A101">
        <v>98</v>
      </c>
      <c r="B101">
        <v>0.31388859786824103</v>
      </c>
      <c r="C101" s="1">
        <f t="shared" si="17"/>
        <v>237075.58374975561</v>
      </c>
      <c r="D101" s="1">
        <f t="shared" si="11"/>
        <v>74415.322572005534</v>
      </c>
      <c r="E101">
        <f t="shared" si="12"/>
        <v>8.3839502226555132E-3</v>
      </c>
      <c r="F101" s="1">
        <f t="shared" si="13"/>
        <v>1987.6298931649492</v>
      </c>
      <c r="G101" s="1">
        <f t="shared" si="14"/>
        <v>5221.7046100079024</v>
      </c>
      <c r="H101" s="1">
        <f t="shared" si="14"/>
        <v>12764.713685833525</v>
      </c>
      <c r="I101">
        <f t="shared" si="15"/>
        <v>594.18510499671208</v>
      </c>
      <c r="J101">
        <f t="shared" si="16"/>
        <v>1738.3764370069334</v>
      </c>
      <c r="K101">
        <f t="shared" si="16"/>
        <v>4606.0499772998546</v>
      </c>
    </row>
    <row r="102" spans="1:11" x14ac:dyDescent="0.3">
      <c r="A102">
        <v>99</v>
      </c>
      <c r="B102">
        <v>0.33774437012721698</v>
      </c>
      <c r="C102" s="1">
        <f t="shared" si="17"/>
        <v>162660.26117775007</v>
      </c>
      <c r="D102" s="1">
        <f t="shared" si="11"/>
        <v>54937.587456207795</v>
      </c>
      <c r="E102">
        <f t="shared" si="12"/>
        <v>7.984714497767156E-3</v>
      </c>
      <c r="F102" s="1">
        <f t="shared" si="13"/>
        <v>1298.795745636573</v>
      </c>
      <c r="G102" s="1">
        <f t="shared" si="14"/>
        <v>3234.0747168429557</v>
      </c>
      <c r="H102" s="1">
        <f t="shared" si="14"/>
        <v>7543.0090758256238</v>
      </c>
      <c r="I102">
        <f t="shared" si="15"/>
        <v>417.77233431803177</v>
      </c>
      <c r="J102">
        <f t="shared" si="16"/>
        <v>1144.1913320102215</v>
      </c>
      <c r="K102">
        <f t="shared" si="16"/>
        <v>2867.6735402929212</v>
      </c>
    </row>
    <row r="103" spans="1:11" x14ac:dyDescent="0.3">
      <c r="A103">
        <v>100</v>
      </c>
      <c r="B103">
        <v>0.36245762178491497</v>
      </c>
      <c r="C103" s="1">
        <f t="shared" si="17"/>
        <v>107722.67372154228</v>
      </c>
      <c r="D103" s="1">
        <f t="shared" si="11"/>
        <v>39044.904129422561</v>
      </c>
      <c r="E103">
        <f t="shared" si="12"/>
        <v>7.6044899978734808E-3</v>
      </c>
      <c r="F103" s="1">
        <f t="shared" si="13"/>
        <v>819.17599485965673</v>
      </c>
      <c r="G103" s="1">
        <f t="shared" si="14"/>
        <v>1935.2789712063816</v>
      </c>
      <c r="H103" s="1">
        <f t="shared" si="14"/>
        <v>4308.9343589826676</v>
      </c>
      <c r="I103">
        <f t="shared" si="15"/>
        <v>282.77769801916457</v>
      </c>
      <c r="J103">
        <f t="shared" si="16"/>
        <v>726.41899769218969</v>
      </c>
      <c r="K103">
        <f t="shared" si="16"/>
        <v>1723.4822082827</v>
      </c>
    </row>
    <row r="104" spans="1:11" x14ac:dyDescent="0.3">
      <c r="A104">
        <v>101</v>
      </c>
      <c r="B104">
        <v>0.38792197247396498</v>
      </c>
      <c r="C104" s="1">
        <f t="shared" si="17"/>
        <v>68677.769592119716</v>
      </c>
      <c r="D104" s="1">
        <f t="shared" si="11"/>
        <v>26641.615845287575</v>
      </c>
      <c r="E104">
        <f t="shared" si="12"/>
        <v>7.2423714265461717E-3</v>
      </c>
      <c r="F104" s="1">
        <f t="shared" si="13"/>
        <v>497.38991613288937</v>
      </c>
      <c r="G104" s="1">
        <f t="shared" si="14"/>
        <v>1116.102976346725</v>
      </c>
      <c r="H104" s="1">
        <f t="shared" si="14"/>
        <v>2373.6553877762858</v>
      </c>
      <c r="I104">
        <f t="shared" si="15"/>
        <v>183.76045462374333</v>
      </c>
      <c r="J104">
        <f t="shared" si="16"/>
        <v>443.64129967302523</v>
      </c>
      <c r="K104">
        <f t="shared" si="16"/>
        <v>997.06321059051027</v>
      </c>
    </row>
    <row r="105" spans="1:11" x14ac:dyDescent="0.3">
      <c r="A105">
        <v>102</v>
      </c>
      <c r="B105">
        <v>0.41401539211775801</v>
      </c>
      <c r="C105" s="1">
        <f t="shared" si="17"/>
        <v>42036.15374683214</v>
      </c>
      <c r="D105" s="1">
        <f t="shared" si="11"/>
        <v>17403.614676617075</v>
      </c>
      <c r="E105">
        <f t="shared" si="12"/>
        <v>6.8974965967106405E-3</v>
      </c>
      <c r="F105" s="1">
        <f t="shared" si="13"/>
        <v>289.94422740757994</v>
      </c>
      <c r="G105" s="1">
        <f t="shared" si="14"/>
        <v>618.71306021383577</v>
      </c>
      <c r="H105" s="1">
        <f t="shared" si="14"/>
        <v>1257.5524114295608</v>
      </c>
      <c r="I105">
        <f t="shared" si="15"/>
        <v>114.32511714517105</v>
      </c>
      <c r="J105">
        <f t="shared" si="16"/>
        <v>259.8808450492819</v>
      </c>
      <c r="K105">
        <f t="shared" si="16"/>
        <v>553.42191091748509</v>
      </c>
    </row>
    <row r="106" spans="1:11" x14ac:dyDescent="0.3">
      <c r="A106">
        <v>103</v>
      </c>
      <c r="B106">
        <v>0.44060218348539298</v>
      </c>
      <c r="C106" s="1">
        <f t="shared" si="17"/>
        <v>24632.539070215065</v>
      </c>
      <c r="D106" s="1">
        <f t="shared" si="11"/>
        <v>10853.150499126012</v>
      </c>
      <c r="E106">
        <f t="shared" si="12"/>
        <v>6.5690443778196562E-3</v>
      </c>
      <c r="F106" s="1">
        <f t="shared" si="13"/>
        <v>161.81224229061931</v>
      </c>
      <c r="G106" s="1">
        <f t="shared" si="14"/>
        <v>328.76883280625572</v>
      </c>
      <c r="H106" s="1">
        <f t="shared" si="14"/>
        <v>638.83935121572495</v>
      </c>
      <c r="I106">
        <f t="shared" si="15"/>
        <v>67.899835493251729</v>
      </c>
      <c r="J106">
        <f t="shared" si="16"/>
        <v>145.5557279041108</v>
      </c>
      <c r="K106">
        <f t="shared" si="16"/>
        <v>293.54106586820319</v>
      </c>
    </row>
    <row r="107" spans="1:11" x14ac:dyDescent="0.3">
      <c r="A107">
        <v>104</v>
      </c>
      <c r="B107">
        <v>0.46753557360093101</v>
      </c>
      <c r="C107" s="1">
        <f t="shared" si="17"/>
        <v>13779.388571089054</v>
      </c>
      <c r="D107" s="1">
        <f t="shared" si="11"/>
        <v>6442.3543394542339</v>
      </c>
      <c r="E107">
        <f t="shared" si="12"/>
        <v>6.2562327407806248E-3</v>
      </c>
      <c r="F107" s="1">
        <f t="shared" si="13"/>
        <v>86.207061926385691</v>
      </c>
      <c r="G107" s="1">
        <f t="shared" si="14"/>
        <v>166.95659051563641</v>
      </c>
      <c r="H107" s="1">
        <f t="shared" si="14"/>
        <v>310.07051840946923</v>
      </c>
      <c r="I107">
        <f t="shared" si="15"/>
        <v>38.385588710670206</v>
      </c>
      <c r="J107">
        <f t="shared" si="16"/>
        <v>77.655892410859082</v>
      </c>
      <c r="K107">
        <f t="shared" si="16"/>
        <v>147.98533796409237</v>
      </c>
    </row>
    <row r="108" spans="1:11" x14ac:dyDescent="0.3">
      <c r="A108">
        <v>105</v>
      </c>
      <c r="B108">
        <v>0.49466082167416903</v>
      </c>
      <c r="C108" s="1">
        <f t="shared" si="17"/>
        <v>7337.0342316348197</v>
      </c>
      <c r="D108" s="1">
        <f t="shared" si="11"/>
        <v>3629.3433816719853</v>
      </c>
      <c r="E108">
        <f t="shared" si="12"/>
        <v>5.9583168959815476E-3</v>
      </c>
      <c r="F108" s="1">
        <f t="shared" si="13"/>
        <v>43.716375028744736</v>
      </c>
      <c r="G108" s="1">
        <f t="shared" si="14"/>
        <v>80.749528589250744</v>
      </c>
      <c r="H108" s="1">
        <f t="shared" si="14"/>
        <v>143.11392789383282</v>
      </c>
      <c r="I108">
        <f t="shared" si="15"/>
        <v>20.59502665936666</v>
      </c>
      <c r="J108">
        <f t="shared" si="16"/>
        <v>39.270303700188883</v>
      </c>
      <c r="K108">
        <f t="shared" si="16"/>
        <v>70.329445553233285</v>
      </c>
    </row>
    <row r="109" spans="1:11" x14ac:dyDescent="0.3">
      <c r="A109">
        <v>106</v>
      </c>
      <c r="B109">
        <v>0.52181871094479304</v>
      </c>
      <c r="C109" s="1">
        <f t="shared" si="17"/>
        <v>3707.6908499628344</v>
      </c>
      <c r="D109" s="1">
        <f t="shared" si="11"/>
        <v>1934.7424599094104</v>
      </c>
      <c r="E109">
        <f t="shared" si="12"/>
        <v>5.6745875199824252E-3</v>
      </c>
      <c r="F109" s="1">
        <f t="shared" si="13"/>
        <v>21.03961622515213</v>
      </c>
      <c r="G109" s="1">
        <f t="shared" si="14"/>
        <v>37.033153560505994</v>
      </c>
      <c r="H109" s="1">
        <f t="shared" si="14"/>
        <v>62.364399304582086</v>
      </c>
      <c r="I109">
        <f t="shared" si="15"/>
        <v>10.456062302268609</v>
      </c>
      <c r="J109">
        <f t="shared" si="16"/>
        <v>18.675277040822213</v>
      </c>
      <c r="K109">
        <f t="shared" si="16"/>
        <v>31.059141853044398</v>
      </c>
    </row>
    <row r="110" spans="1:11" x14ac:dyDescent="0.3">
      <c r="A110">
        <v>107</v>
      </c>
      <c r="B110">
        <v>0.54884926060852601</v>
      </c>
      <c r="C110" s="1">
        <f t="shared" si="17"/>
        <v>1772.948390053424</v>
      </c>
      <c r="D110" s="1">
        <f t="shared" si="11"/>
        <v>973.08141297789837</v>
      </c>
      <c r="E110">
        <f t="shared" si="12"/>
        <v>5.4043690666499295E-3</v>
      </c>
      <c r="F110" s="1">
        <f t="shared" si="13"/>
        <v>9.5816674359715179</v>
      </c>
      <c r="G110" s="1">
        <f t="shared" si="14"/>
        <v>15.993537335353867</v>
      </c>
      <c r="H110" s="1">
        <f t="shared" si="14"/>
        <v>25.331245744076099</v>
      </c>
      <c r="I110">
        <f t="shared" si="15"/>
        <v>5.0084677025045323</v>
      </c>
      <c r="J110">
        <f t="shared" si="16"/>
        <v>8.219214738553605</v>
      </c>
      <c r="K110">
        <f t="shared" si="16"/>
        <v>12.383864812222185</v>
      </c>
    </row>
    <row r="111" spans="1:11" x14ac:dyDescent="0.3">
      <c r="A111">
        <v>108</v>
      </c>
      <c r="B111">
        <v>0.57559547563062596</v>
      </c>
      <c r="C111" s="1">
        <f t="shared" si="17"/>
        <v>799.8669770755256</v>
      </c>
      <c r="D111" s="1">
        <f t="shared" si="11"/>
        <v>460.39981311101815</v>
      </c>
      <c r="E111">
        <f t="shared" si="12"/>
        <v>5.1470181587142186E-3</v>
      </c>
      <c r="F111" s="1">
        <f t="shared" si="13"/>
        <v>4.1169298555635798</v>
      </c>
      <c r="G111" s="1">
        <f t="shared" si="14"/>
        <v>6.4118698993823484</v>
      </c>
      <c r="H111" s="1">
        <f t="shared" si="14"/>
        <v>9.3377084087222322</v>
      </c>
      <c r="I111">
        <f t="shared" si="15"/>
        <v>2.2568439984295643</v>
      </c>
      <c r="J111">
        <f t="shared" si="16"/>
        <v>3.2107470360490726</v>
      </c>
      <c r="K111">
        <f t="shared" si="16"/>
        <v>4.1646500736685814</v>
      </c>
    </row>
    <row r="112" spans="1:11" x14ac:dyDescent="0.3">
      <c r="A112">
        <v>109</v>
      </c>
      <c r="B112">
        <v>0.60190694905901199</v>
      </c>
      <c r="C112" s="1">
        <f t="shared" si="17"/>
        <v>339.46716396450745</v>
      </c>
      <c r="D112" s="1">
        <f t="shared" si="11"/>
        <v>204.32764496759205</v>
      </c>
      <c r="E112">
        <f t="shared" si="12"/>
        <v>4.9019220559183025E-3</v>
      </c>
      <c r="F112" s="1">
        <f t="shared" si="13"/>
        <v>1.6640415782976539</v>
      </c>
      <c r="G112" s="1">
        <f t="shared" si="14"/>
        <v>2.2949400438187681</v>
      </c>
      <c r="H112" s="1">
        <f t="shared" si="14"/>
        <v>2.9258385093398824</v>
      </c>
      <c r="I112">
        <f t="shared" si="15"/>
        <v>0.95390303761950845</v>
      </c>
      <c r="J112">
        <f t="shared" si="16"/>
        <v>0.95390303761950845</v>
      </c>
      <c r="K112">
        <f t="shared" si="16"/>
        <v>0.95390303761950845</v>
      </c>
    </row>
    <row r="113" spans="1:11" x14ac:dyDescent="0.3">
      <c r="A113">
        <v>110</v>
      </c>
      <c r="B113">
        <v>1</v>
      </c>
      <c r="C113" s="1">
        <f t="shared" si="17"/>
        <v>135.1395189969154</v>
      </c>
      <c r="D113" s="1">
        <f t="shared" si="11"/>
        <v>135.1395189969154</v>
      </c>
      <c r="E113">
        <f t="shared" si="12"/>
        <v>4.6684971961126693E-3</v>
      </c>
      <c r="F113" s="1">
        <f t="shared" si="13"/>
        <v>0.63089846552111439</v>
      </c>
      <c r="G113" s="1">
        <f t="shared" si="14"/>
        <v>0.63089846552111439</v>
      </c>
      <c r="H113" s="1">
        <f t="shared" si="14"/>
        <v>0.63089846552111439</v>
      </c>
      <c r="I113">
        <f t="shared" si="15"/>
        <v>0</v>
      </c>
      <c r="J113">
        <f t="shared" si="16"/>
        <v>0</v>
      </c>
      <c r="K113">
        <f t="shared" si="1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 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</dc:creator>
  <cp:lastModifiedBy>Juan Pablo Cuevas Barraza</cp:lastModifiedBy>
  <dcterms:created xsi:type="dcterms:W3CDTF">2025-12-09T16:02:55Z</dcterms:created>
  <dcterms:modified xsi:type="dcterms:W3CDTF">2025-12-09T19:05:03Z</dcterms:modified>
</cp:coreProperties>
</file>